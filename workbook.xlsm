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ipengxu\Desktop\"/>
    </mc:Choice>
  </mc:AlternateContent>
  <bookViews>
    <workbookView xWindow="0" yWindow="0" windowWidth="16170" windowHeight="2580" activeTab="3"/>
  </bookViews>
  <sheets>
    <sheet name="Sheet1" sheetId="1" r:id="rId1"/>
    <sheet name="Sheet2" sheetId="2" r:id="rId2"/>
    <sheet name="Sheet3" sheetId="3" r:id="rId3"/>
    <sheet name="Sheet4" sheetId="4" r:id="rId4"/>
  </sheets>
  <definedNames>
    <definedName name="CatalogSope">Sheet1!$A$1:$A$15</definedName>
  </definedNames>
  <calcPr calcId="152511"/>
</workbook>
</file>

<file path=xl/calcChain.xml><?xml version="1.0" encoding="utf-8"?>
<calcChain xmlns="http://schemas.openxmlformats.org/spreadsheetml/2006/main">
  <c r="E54" i="4" l="1"/>
  <c r="C15" i="4" a="1"/>
  <c r="C16" i="4" a="1"/>
  <c r="C21" i="4" a="1"/>
  <c r="C23" i="4" a="1"/>
  <c r="C17" i="4" a="1"/>
  <c r="C24" i="4" a="1"/>
  <c r="C22" i="4" a="1"/>
  <c r="C18" i="4" a="1"/>
  <c r="C19" i="4" a="1"/>
  <c r="C20" i="4" a="1"/>
  <c r="C15" i="4" l="1"/>
  <c r="C20" i="4"/>
  <c r="C19" i="4"/>
  <c r="C18" i="4"/>
  <c r="C22" i="4"/>
  <c r="C24" i="4"/>
  <c r="C17" i="4"/>
  <c r="C23" i="4"/>
  <c r="C21" i="4"/>
  <c r="C16" i="4"/>
  <c r="E57" i="4" a="1"/>
  <c r="E57" i="4" s="1"/>
  <c r="E55" i="4"/>
  <c r="E53" i="4"/>
  <c r="E50" i="4"/>
  <c r="E49" i="4"/>
  <c r="E48" i="4"/>
  <c r="E47" i="4"/>
  <c r="E45" i="4"/>
  <c r="E45" i="4" a="1"/>
  <c r="E40" i="4"/>
  <c r="E39" i="4" a="1"/>
  <c r="E39" i="4" s="1"/>
  <c r="E38" i="4" a="1"/>
  <c r="E38" i="4" s="1"/>
  <c r="E37" i="4"/>
  <c r="E36" i="4"/>
  <c r="E35" i="4"/>
  <c r="E31" i="4" a="1"/>
  <c r="E31" i="4" s="1"/>
  <c r="E30" i="4"/>
  <c r="E29" i="4"/>
  <c r="E28" i="4" a="1"/>
  <c r="E28" i="4" s="1"/>
  <c r="E27" i="4"/>
  <c r="E27" i="4" a="1"/>
  <c r="E26" i="4"/>
  <c r="E23" i="4" a="1"/>
  <c r="E23" i="4" s="1"/>
  <c r="E22" i="4" a="1"/>
  <c r="E22" i="4" s="1"/>
  <c r="E21" i="4"/>
  <c r="E17" i="4"/>
  <c r="E14" i="4"/>
  <c r="E13" i="4"/>
  <c r="E12" i="4"/>
  <c r="E11" i="4"/>
  <c r="E10" i="4"/>
  <c r="E9" i="4"/>
  <c r="E8" i="4"/>
  <c r="E7" i="4"/>
  <c r="E4" i="4"/>
  <c r="E3" i="4"/>
  <c r="E2" i="4" a="1"/>
  <c r="E2" i="4" s="1"/>
  <c r="E1" i="4"/>
  <c r="E57" i="3" a="1"/>
  <c r="E57" i="3" s="1"/>
  <c r="E55" i="3"/>
  <c r="E53" i="3"/>
  <c r="E50" i="3"/>
  <c r="E49" i="3"/>
  <c r="E48" i="3"/>
  <c r="E47" i="3"/>
  <c r="E45" i="3"/>
  <c r="E45" i="3" a="1"/>
  <c r="E40" i="3"/>
  <c r="E39" i="3" a="1"/>
  <c r="E39" i="3" s="1"/>
  <c r="E38" i="3" a="1"/>
  <c r="E38" i="3" s="1"/>
  <c r="E37" i="3"/>
  <c r="E36" i="3"/>
  <c r="E35" i="3"/>
  <c r="E31" i="3"/>
  <c r="E31" i="3" a="1"/>
  <c r="E30" i="3"/>
  <c r="E29" i="3"/>
  <c r="E28" i="3" a="1"/>
  <c r="E28" i="3" s="1"/>
  <c r="E27" i="3"/>
  <c r="E27" i="3" a="1"/>
  <c r="E26" i="3"/>
  <c r="E23" i="3" a="1"/>
  <c r="E23" i="3" s="1"/>
  <c r="E22" i="3" a="1"/>
  <c r="E22" i="3" s="1"/>
  <c r="E21" i="3"/>
  <c r="E17" i="3"/>
  <c r="E14" i="3"/>
  <c r="E13" i="3"/>
  <c r="E12" i="3"/>
  <c r="E11" i="3"/>
  <c r="E10" i="3"/>
  <c r="E9" i="3"/>
  <c r="E8" i="3"/>
  <c r="E7" i="3"/>
  <c r="E4" i="3"/>
  <c r="E3" i="3"/>
  <c r="E2" i="3" a="1"/>
  <c r="E2" i="3" s="1"/>
  <c r="E1" i="3"/>
  <c r="E55" i="2"/>
  <c r="E53" i="2"/>
  <c r="E49" i="2"/>
  <c r="E50" i="2"/>
  <c r="E40" i="2"/>
  <c r="E48" i="2"/>
  <c r="E47" i="2"/>
  <c r="E45" i="2" a="1"/>
  <c r="E45" i="2" s="1"/>
  <c r="E39" i="2" a="1"/>
  <c r="E39" i="2" s="1"/>
  <c r="E38" i="2" a="1"/>
  <c r="E38" i="2" s="1"/>
  <c r="E58" i="4" a="1"/>
  <c r="E46" i="4"/>
  <c r="E25" i="4" a="1"/>
  <c r="E18" i="4"/>
  <c r="E6" i="4" a="1"/>
  <c r="C2" i="4" a="1"/>
  <c r="E52" i="4" a="1"/>
  <c r="E20" i="4" a="1"/>
  <c r="C4" i="4" a="1"/>
  <c r="C6" i="4" a="1"/>
  <c r="E24" i="4" a="1"/>
  <c r="E56" i="4" a="1"/>
  <c r="E43" i="4"/>
  <c r="C8" i="4" a="1"/>
  <c r="C1" i="4" a="1"/>
  <c r="E5" i="4" a="1"/>
  <c r="C3" i="4" a="1"/>
  <c r="E16" i="4"/>
  <c r="C7" i="4" a="1"/>
  <c r="E32" i="4"/>
  <c r="E19" i="4" a="1"/>
  <c r="C5" i="4" a="1"/>
  <c r="C15" i="3" a="1"/>
  <c r="C16" i="3" a="1"/>
  <c r="C21" i="3" a="1"/>
  <c r="C17" i="3" a="1"/>
  <c r="C19" i="3" a="1"/>
  <c r="C18" i="3" a="1"/>
  <c r="C22" i="3" a="1"/>
  <c r="C20" i="3" a="1"/>
  <c r="C24" i="3" a="1"/>
  <c r="C23" i="3" a="1"/>
  <c r="E24" i="3" a="1"/>
  <c r="E6" i="3" a="1"/>
  <c r="C2" i="3" a="1"/>
  <c r="E25" i="3" a="1"/>
  <c r="E16" i="3"/>
  <c r="E56" i="3" a="1"/>
  <c r="E43" i="3"/>
  <c r="E19" i="3" a="1"/>
  <c r="C4" i="3" a="1"/>
  <c r="C6" i="3" a="1"/>
  <c r="C5" i="3" a="1"/>
  <c r="E18" i="3"/>
  <c r="E5" i="3" a="1"/>
  <c r="C3" i="3" a="1"/>
  <c r="E32" i="3"/>
  <c r="C8" i="3" a="1"/>
  <c r="C1" i="3" a="1"/>
  <c r="E54" i="3" a="1"/>
  <c r="E46" i="3"/>
  <c r="E52" i="3" a="1"/>
  <c r="E20" i="3" a="1"/>
  <c r="C7" i="3" a="1"/>
  <c r="E56" i="2" a="1"/>
  <c r="E54" i="2" a="1"/>
  <c r="E52" i="2" a="1"/>
  <c r="E46" i="2"/>
  <c r="E43" i="2"/>
  <c r="E58" i="4" l="1"/>
  <c r="C5" i="4"/>
  <c r="E19" i="4"/>
  <c r="E33" i="4"/>
  <c r="C7" i="4"/>
  <c r="C3" i="4"/>
  <c r="E5" i="4"/>
  <c r="C1" i="4"/>
  <c r="C8" i="4"/>
  <c r="E56" i="4"/>
  <c r="E24" i="4"/>
  <c r="C6" i="4"/>
  <c r="C4" i="4"/>
  <c r="E20" i="4"/>
  <c r="E52" i="4"/>
  <c r="C2" i="4"/>
  <c r="E6" i="4"/>
  <c r="E25" i="4"/>
  <c r="C15" i="3"/>
  <c r="C23" i="3"/>
  <c r="C24" i="3"/>
  <c r="C20" i="3"/>
  <c r="C22" i="3"/>
  <c r="C18" i="3"/>
  <c r="C19" i="3"/>
  <c r="C17" i="3"/>
  <c r="C21" i="3"/>
  <c r="C16" i="3"/>
  <c r="C7" i="3"/>
  <c r="E20" i="3"/>
  <c r="E52" i="3"/>
  <c r="E54" i="3"/>
  <c r="C1" i="3"/>
  <c r="C8" i="3"/>
  <c r="E33" i="3"/>
  <c r="C3" i="3"/>
  <c r="E5" i="3"/>
  <c r="C5" i="3"/>
  <c r="C6" i="3"/>
  <c r="C4" i="3"/>
  <c r="E19" i="3"/>
  <c r="E56" i="3"/>
  <c r="E25" i="3"/>
  <c r="C2" i="3"/>
  <c r="E6" i="3"/>
  <c r="E24" i="3"/>
  <c r="E56" i="2"/>
  <c r="E54" i="2"/>
  <c r="E52" i="2"/>
  <c r="E37" i="2"/>
  <c r="E36" i="2"/>
  <c r="E51" i="4" a="1"/>
  <c r="E51" i="3" a="1"/>
  <c r="C15" i="2" a="1"/>
  <c r="E51" i="4" l="1"/>
  <c r="E51" i="3"/>
  <c r="C15" i="2"/>
  <c r="E35" i="2"/>
  <c r="E22" i="2" a="1"/>
  <c r="E22" i="2" s="1"/>
  <c r="E32" i="2"/>
  <c r="C17" i="2" a="1"/>
  <c r="C16" i="2" a="1"/>
  <c r="C17" i="2" l="1"/>
  <c r="C16" i="2"/>
  <c r="E30" i="2"/>
  <c r="E31" i="2" a="1"/>
  <c r="E31" i="2" s="1"/>
  <c r="E27" i="2" a="1"/>
  <c r="E27" i="2" s="1"/>
  <c r="E29" i="2"/>
  <c r="E28" i="2" a="1"/>
  <c r="E28" i="2" s="1"/>
  <c r="E26" i="2"/>
  <c r="E23" i="2" a="1"/>
  <c r="E23" i="2" s="1"/>
  <c r="E21" i="2"/>
  <c r="E25" i="2" a="1"/>
  <c r="E19" i="2" a="1"/>
  <c r="E24" i="2" a="1"/>
  <c r="E20" i="2" a="1"/>
  <c r="E33" i="2" l="1"/>
  <c r="E25" i="2"/>
  <c r="E24" i="2"/>
  <c r="E20" i="2"/>
  <c r="E19" i="2"/>
  <c r="E17" i="2"/>
  <c r="E13" i="2"/>
  <c r="E4" i="2"/>
  <c r="E14" i="2"/>
  <c r="E12" i="2"/>
  <c r="E7" i="2"/>
  <c r="E11" i="2"/>
  <c r="E10" i="2"/>
  <c r="E9" i="2"/>
  <c r="E8" i="2"/>
  <c r="E3" i="2"/>
  <c r="E1" i="2"/>
  <c r="E2" i="2" a="1"/>
  <c r="E2" i="2"/>
  <c r="C8" i="2" a="1"/>
  <c r="D24" i="1" a="1"/>
  <c r="C2" i="2" a="1"/>
  <c r="E16" i="2"/>
  <c r="C1" i="2" a="1"/>
  <c r="E5" i="2" a="1"/>
  <c r="C6" i="2" a="1"/>
  <c r="E6" i="2" a="1"/>
  <c r="C4" i="2" a="1"/>
  <c r="D27" i="1" a="1"/>
  <c r="C3" i="2" a="1"/>
  <c r="D25" i="1" a="1"/>
  <c r="D29" i="1" a="1"/>
  <c r="D28" i="1" a="1"/>
  <c r="C7" i="2" a="1"/>
  <c r="E18" i="2"/>
  <c r="D26" i="1" a="1"/>
  <c r="C5" i="2" a="1"/>
  <c r="E6" i="2" l="1"/>
  <c r="E5" i="2"/>
  <c r="C8" i="2"/>
  <c r="C7" i="2"/>
  <c r="C3" i="2"/>
  <c r="C6" i="2"/>
  <c r="C1" i="2"/>
  <c r="C5" i="2"/>
  <c r="C2" i="2"/>
  <c r="C4" i="2"/>
  <c r="D24" i="1"/>
  <c r="D26" i="1"/>
  <c r="D28" i="1"/>
  <c r="D25" i="1"/>
  <c r="D27" i="1"/>
  <c r="D29" i="1"/>
  <c r="E51" i="2" a="1"/>
  <c r="E51" i="2" l="1"/>
  <c r="C2" i="1"/>
  <c r="C1" i="1"/>
  <c r="K7" i="1" l="1"/>
  <c r="K2" i="1" l="1"/>
  <c r="K4" i="1"/>
  <c r="J4" i="1"/>
  <c r="J10" i="1"/>
  <c r="J9" i="1"/>
  <c r="J8" i="1"/>
  <c r="K1" i="1"/>
  <c r="J7" i="1"/>
  <c r="J6" i="1"/>
  <c r="J5" i="1"/>
  <c r="C1024" i="1"/>
  <c r="C1023" i="1"/>
  <c r="C1022" i="1"/>
  <c r="C1021" i="1"/>
  <c r="C1020" i="1"/>
  <c r="C1019" i="1"/>
  <c r="C1018" i="1"/>
  <c r="C1017" i="1"/>
  <c r="C1016" i="1"/>
  <c r="C1015" i="1"/>
  <c r="C1014" i="1"/>
  <c r="C1013" i="1"/>
  <c r="C1012" i="1"/>
  <c r="C1011" i="1"/>
  <c r="C1010" i="1"/>
  <c r="C1009" i="1"/>
  <c r="C1008" i="1"/>
  <c r="C1007" i="1"/>
  <c r="C1006" i="1"/>
  <c r="C1005" i="1"/>
  <c r="C1004" i="1"/>
  <c r="C1003" i="1"/>
  <c r="C1002" i="1"/>
  <c r="C1001" i="1"/>
  <c r="C1000" i="1"/>
  <c r="C999" i="1"/>
  <c r="C998" i="1"/>
  <c r="C997" i="1"/>
  <c r="C996" i="1"/>
  <c r="C995" i="1"/>
  <c r="C994" i="1"/>
  <c r="C993" i="1"/>
  <c r="C992" i="1"/>
  <c r="C991" i="1"/>
  <c r="C990" i="1"/>
  <c r="C989" i="1"/>
  <c r="C988" i="1"/>
  <c r="C987" i="1"/>
  <c r="C986" i="1"/>
  <c r="C985" i="1"/>
  <c r="C984" i="1"/>
  <c r="C983" i="1"/>
  <c r="C982" i="1"/>
  <c r="C981" i="1"/>
  <c r="C980" i="1"/>
  <c r="C979" i="1"/>
  <c r="C978" i="1"/>
  <c r="C977" i="1"/>
  <c r="C976" i="1"/>
  <c r="C975" i="1"/>
  <c r="C974" i="1"/>
  <c r="C973" i="1"/>
  <c r="C972" i="1"/>
  <c r="C971" i="1"/>
  <c r="C970" i="1"/>
  <c r="C969" i="1"/>
  <c r="C968" i="1"/>
  <c r="C967" i="1"/>
  <c r="C966" i="1"/>
  <c r="C965" i="1"/>
  <c r="C964" i="1"/>
  <c r="C963" i="1"/>
  <c r="C962" i="1"/>
  <c r="C961" i="1"/>
  <c r="C960" i="1"/>
  <c r="C959" i="1"/>
  <c r="C958" i="1"/>
  <c r="C957" i="1"/>
  <c r="C956" i="1"/>
  <c r="C955" i="1"/>
  <c r="C954" i="1"/>
  <c r="C953" i="1"/>
  <c r="C952" i="1"/>
  <c r="C951" i="1"/>
  <c r="C950" i="1"/>
  <c r="C949" i="1"/>
  <c r="C948" i="1"/>
  <c r="C947" i="1"/>
  <c r="C946" i="1"/>
  <c r="C945" i="1"/>
  <c r="C944" i="1"/>
  <c r="C943" i="1"/>
  <c r="C942" i="1"/>
  <c r="C941" i="1"/>
  <c r="C940" i="1"/>
  <c r="C939" i="1"/>
  <c r="C938" i="1"/>
  <c r="C937" i="1"/>
  <c r="C936" i="1"/>
  <c r="C935" i="1"/>
  <c r="C934" i="1"/>
  <c r="C933" i="1"/>
  <c r="C932" i="1"/>
  <c r="C931" i="1"/>
  <c r="C930" i="1"/>
  <c r="C929" i="1"/>
  <c r="C928" i="1"/>
  <c r="C927" i="1"/>
  <c r="C926" i="1"/>
  <c r="C925" i="1"/>
  <c r="C924" i="1"/>
  <c r="C923" i="1"/>
  <c r="C922" i="1"/>
  <c r="C921" i="1"/>
  <c r="C920" i="1"/>
  <c r="C919" i="1"/>
  <c r="C918" i="1"/>
  <c r="C917" i="1"/>
  <c r="C916" i="1"/>
  <c r="C915" i="1"/>
  <c r="C914" i="1"/>
  <c r="C913" i="1"/>
  <c r="C912" i="1"/>
  <c r="C911" i="1"/>
  <c r="C910" i="1"/>
  <c r="C909" i="1"/>
  <c r="C908" i="1"/>
  <c r="C907" i="1"/>
  <c r="C906" i="1"/>
  <c r="C905" i="1"/>
  <c r="C904" i="1"/>
  <c r="C903" i="1"/>
  <c r="C902" i="1"/>
  <c r="C901" i="1"/>
  <c r="C900" i="1"/>
  <c r="C899" i="1"/>
  <c r="C898" i="1"/>
  <c r="C897" i="1"/>
  <c r="C896" i="1"/>
  <c r="C895" i="1"/>
  <c r="C894" i="1"/>
  <c r="C893" i="1"/>
  <c r="C892" i="1"/>
  <c r="C891" i="1"/>
  <c r="C890" i="1"/>
  <c r="C889" i="1"/>
  <c r="C888" i="1"/>
  <c r="C887" i="1"/>
  <c r="C886" i="1"/>
  <c r="C885" i="1"/>
  <c r="C884" i="1"/>
  <c r="C883" i="1"/>
  <c r="C882" i="1"/>
  <c r="C881" i="1"/>
  <c r="C880" i="1"/>
  <c r="C879" i="1"/>
  <c r="C878" i="1"/>
  <c r="C877" i="1"/>
  <c r="C876" i="1"/>
  <c r="C875" i="1"/>
  <c r="C874" i="1"/>
  <c r="C873" i="1"/>
  <c r="C872" i="1"/>
  <c r="C871" i="1"/>
  <c r="C870" i="1"/>
  <c r="C869" i="1"/>
  <c r="C868" i="1"/>
  <c r="C867" i="1"/>
  <c r="C866" i="1"/>
  <c r="C865" i="1"/>
  <c r="C864" i="1"/>
  <c r="C863" i="1"/>
  <c r="C862" i="1"/>
  <c r="C861" i="1"/>
  <c r="C860" i="1"/>
  <c r="C859" i="1"/>
  <c r="C858" i="1"/>
  <c r="C857" i="1"/>
  <c r="C856" i="1"/>
  <c r="C855" i="1"/>
  <c r="C854" i="1"/>
  <c r="C853" i="1"/>
  <c r="C852" i="1"/>
  <c r="C851" i="1"/>
  <c r="C850" i="1"/>
  <c r="C849" i="1"/>
  <c r="C848" i="1"/>
  <c r="C847" i="1"/>
  <c r="C846" i="1"/>
  <c r="C845" i="1"/>
  <c r="C844" i="1"/>
  <c r="C843" i="1"/>
  <c r="C842" i="1"/>
  <c r="C841" i="1"/>
  <c r="C840" i="1"/>
  <c r="C839" i="1"/>
  <c r="C838" i="1"/>
  <c r="C837" i="1"/>
  <c r="C836" i="1"/>
  <c r="C835" i="1"/>
  <c r="C834" i="1"/>
  <c r="C833" i="1"/>
  <c r="C832" i="1"/>
  <c r="C831" i="1"/>
  <c r="C830" i="1"/>
  <c r="C829" i="1"/>
  <c r="C828" i="1"/>
  <c r="C827" i="1"/>
  <c r="C826" i="1"/>
  <c r="C825" i="1"/>
  <c r="C824" i="1"/>
  <c r="C823" i="1"/>
  <c r="C822" i="1"/>
  <c r="C821" i="1"/>
  <c r="C820" i="1"/>
  <c r="C819" i="1"/>
  <c r="C818" i="1"/>
  <c r="C817" i="1"/>
  <c r="C816" i="1"/>
  <c r="C815" i="1"/>
  <c r="C814" i="1"/>
  <c r="C813" i="1"/>
  <c r="C812" i="1"/>
  <c r="C811" i="1"/>
  <c r="C810" i="1"/>
  <c r="C809" i="1"/>
  <c r="C808" i="1"/>
  <c r="C807" i="1"/>
  <c r="C806" i="1"/>
  <c r="C805" i="1"/>
  <c r="C804" i="1"/>
  <c r="C803" i="1"/>
  <c r="C802" i="1"/>
  <c r="C801" i="1"/>
  <c r="C800" i="1"/>
  <c r="C799" i="1"/>
  <c r="C798" i="1"/>
  <c r="C797" i="1"/>
  <c r="C796" i="1"/>
  <c r="C795" i="1"/>
  <c r="C794" i="1"/>
  <c r="C793" i="1"/>
  <c r="C792" i="1"/>
  <c r="C791" i="1"/>
  <c r="C790" i="1"/>
  <c r="C789" i="1"/>
  <c r="C788" i="1"/>
  <c r="C787" i="1"/>
  <c r="C786" i="1"/>
  <c r="C785" i="1"/>
  <c r="C784" i="1"/>
  <c r="C783" i="1"/>
  <c r="C782" i="1"/>
  <c r="C781" i="1"/>
  <c r="C780" i="1"/>
  <c r="C779" i="1"/>
  <c r="C778" i="1"/>
  <c r="C777" i="1"/>
  <c r="C776" i="1"/>
  <c r="C775" i="1"/>
  <c r="C774" i="1"/>
  <c r="C773" i="1"/>
  <c r="C772" i="1"/>
  <c r="C771" i="1"/>
  <c r="C770" i="1"/>
  <c r="C769" i="1"/>
  <c r="C768" i="1"/>
  <c r="C767" i="1"/>
  <c r="C766" i="1"/>
  <c r="C765" i="1"/>
  <c r="C764" i="1"/>
  <c r="C763" i="1"/>
  <c r="C762" i="1"/>
  <c r="C761" i="1"/>
  <c r="C760" i="1"/>
  <c r="C759" i="1"/>
  <c r="C758" i="1"/>
  <c r="C757" i="1"/>
  <c r="C756" i="1"/>
  <c r="C755" i="1"/>
  <c r="C754" i="1"/>
  <c r="C753" i="1"/>
  <c r="C752" i="1"/>
  <c r="C751" i="1"/>
  <c r="C750" i="1"/>
  <c r="C749" i="1"/>
  <c r="C748" i="1"/>
  <c r="C747" i="1"/>
  <c r="C746" i="1"/>
  <c r="C745" i="1"/>
  <c r="C744" i="1"/>
  <c r="C743" i="1"/>
  <c r="C742" i="1"/>
  <c r="C741" i="1"/>
  <c r="C740" i="1"/>
  <c r="C739" i="1"/>
  <c r="C738" i="1"/>
  <c r="C737" i="1"/>
  <c r="C736" i="1"/>
  <c r="C735" i="1"/>
  <c r="C734" i="1"/>
  <c r="C733" i="1"/>
  <c r="C732" i="1"/>
  <c r="C731" i="1"/>
  <c r="C730" i="1"/>
  <c r="C729" i="1"/>
  <c r="C728" i="1"/>
  <c r="C727" i="1"/>
  <c r="C726" i="1"/>
  <c r="C725" i="1"/>
  <c r="C724" i="1"/>
  <c r="C723" i="1"/>
  <c r="C722" i="1"/>
  <c r="C721" i="1"/>
  <c r="C720" i="1"/>
  <c r="C719" i="1"/>
  <c r="C718" i="1"/>
  <c r="C717" i="1"/>
  <c r="C716" i="1"/>
  <c r="C715" i="1"/>
  <c r="C714" i="1"/>
  <c r="C713" i="1"/>
  <c r="C712" i="1"/>
  <c r="C711" i="1"/>
  <c r="C710" i="1"/>
  <c r="C709" i="1"/>
  <c r="C708" i="1"/>
  <c r="C707" i="1"/>
  <c r="C706" i="1"/>
  <c r="C705" i="1"/>
  <c r="C704" i="1"/>
  <c r="C703" i="1"/>
  <c r="C702" i="1"/>
  <c r="C701" i="1"/>
  <c r="C700" i="1"/>
  <c r="C699" i="1"/>
  <c r="C698" i="1"/>
  <c r="C697" i="1"/>
  <c r="C696" i="1"/>
  <c r="C695" i="1"/>
  <c r="C694" i="1"/>
  <c r="C693" i="1"/>
  <c r="C692" i="1"/>
  <c r="C691" i="1"/>
  <c r="C690" i="1"/>
  <c r="C689" i="1"/>
  <c r="C688" i="1"/>
  <c r="C687" i="1"/>
  <c r="C686" i="1"/>
  <c r="C685" i="1"/>
  <c r="C684" i="1"/>
  <c r="C683" i="1"/>
  <c r="C682" i="1"/>
  <c r="C681" i="1"/>
  <c r="C680" i="1"/>
  <c r="C679" i="1"/>
  <c r="C678" i="1"/>
  <c r="C677" i="1"/>
  <c r="C676" i="1"/>
  <c r="C675" i="1"/>
  <c r="C674" i="1"/>
  <c r="C673" i="1"/>
  <c r="C672" i="1"/>
  <c r="C671" i="1"/>
  <c r="C670" i="1"/>
  <c r="C669" i="1"/>
  <c r="C668" i="1"/>
  <c r="C667" i="1"/>
  <c r="C666" i="1"/>
  <c r="C665" i="1"/>
  <c r="C664" i="1"/>
  <c r="C663" i="1"/>
  <c r="C662" i="1"/>
  <c r="C661" i="1"/>
  <c r="C660" i="1"/>
  <c r="C659" i="1"/>
  <c r="C658" i="1"/>
  <c r="C657" i="1"/>
  <c r="C656" i="1"/>
  <c r="C655" i="1"/>
  <c r="C654" i="1"/>
  <c r="C653" i="1"/>
  <c r="C652" i="1"/>
  <c r="C651" i="1"/>
  <c r="C650" i="1"/>
  <c r="C649" i="1"/>
  <c r="C648" i="1"/>
  <c r="C647" i="1"/>
  <c r="C646" i="1"/>
  <c r="C645" i="1"/>
  <c r="C644" i="1"/>
  <c r="C643" i="1"/>
  <c r="C642" i="1"/>
  <c r="C641" i="1"/>
  <c r="C640" i="1"/>
  <c r="C639" i="1"/>
  <c r="C638" i="1"/>
  <c r="C637" i="1"/>
  <c r="C636" i="1"/>
  <c r="C635" i="1"/>
  <c r="C634" i="1"/>
  <c r="C633" i="1"/>
  <c r="C632" i="1"/>
  <c r="C631" i="1"/>
  <c r="C630" i="1"/>
  <c r="C629" i="1"/>
  <c r="C628" i="1"/>
  <c r="C627" i="1"/>
  <c r="C626" i="1"/>
  <c r="C625" i="1"/>
  <c r="C624" i="1"/>
  <c r="C623" i="1"/>
  <c r="C622" i="1"/>
  <c r="C621" i="1"/>
  <c r="C620" i="1"/>
  <c r="C619" i="1"/>
  <c r="C618" i="1"/>
  <c r="C617" i="1"/>
  <c r="C616" i="1"/>
  <c r="C615" i="1"/>
  <c r="C614" i="1"/>
  <c r="C613" i="1"/>
  <c r="C612" i="1"/>
  <c r="C611" i="1"/>
  <c r="C610" i="1"/>
  <c r="C609" i="1"/>
  <c r="C608" i="1"/>
  <c r="C607" i="1"/>
  <c r="C606" i="1"/>
  <c r="C605" i="1"/>
  <c r="C604" i="1"/>
  <c r="C603" i="1"/>
  <c r="C602" i="1"/>
  <c r="C601" i="1"/>
  <c r="C600" i="1"/>
  <c r="C599" i="1"/>
  <c r="C598" i="1"/>
  <c r="C597" i="1"/>
  <c r="C596" i="1"/>
  <c r="C595" i="1"/>
  <c r="C594" i="1"/>
  <c r="C593" i="1"/>
  <c r="C592" i="1"/>
  <c r="C591" i="1"/>
  <c r="C590" i="1"/>
  <c r="C589" i="1"/>
  <c r="C588" i="1"/>
  <c r="C587" i="1"/>
  <c r="C586" i="1"/>
  <c r="C585" i="1"/>
  <c r="C584" i="1"/>
  <c r="C583" i="1"/>
  <c r="C582" i="1"/>
  <c r="C581" i="1"/>
  <c r="C580" i="1"/>
  <c r="C579" i="1"/>
  <c r="C578" i="1"/>
  <c r="C577" i="1"/>
  <c r="C576" i="1"/>
  <c r="C575" i="1"/>
  <c r="C574" i="1"/>
  <c r="C573" i="1"/>
  <c r="C572" i="1"/>
  <c r="C571" i="1"/>
  <c r="C570" i="1"/>
  <c r="C569" i="1"/>
  <c r="C568" i="1"/>
  <c r="C567" i="1"/>
  <c r="C566" i="1"/>
  <c r="C565" i="1"/>
  <c r="C564" i="1"/>
  <c r="C563" i="1"/>
  <c r="C562" i="1"/>
  <c r="C561" i="1"/>
  <c r="C560" i="1"/>
  <c r="C559" i="1"/>
  <c r="C558" i="1"/>
  <c r="C557" i="1"/>
  <c r="C556" i="1"/>
  <c r="C555" i="1"/>
  <c r="C554" i="1"/>
  <c r="C553" i="1"/>
  <c r="C552" i="1"/>
  <c r="C551" i="1"/>
  <c r="C550" i="1"/>
  <c r="C549" i="1"/>
  <c r="C548" i="1"/>
  <c r="C547" i="1"/>
  <c r="C546" i="1"/>
  <c r="C545" i="1"/>
  <c r="C544" i="1"/>
  <c r="C543" i="1"/>
  <c r="C542" i="1"/>
  <c r="C541" i="1"/>
  <c r="C540" i="1"/>
  <c r="C539" i="1"/>
  <c r="C538" i="1"/>
  <c r="C537" i="1"/>
  <c r="C536" i="1"/>
  <c r="C535" i="1"/>
  <c r="C534" i="1"/>
  <c r="C533" i="1"/>
  <c r="C532" i="1"/>
  <c r="C531" i="1"/>
  <c r="C530" i="1"/>
  <c r="C529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J2" i="1" l="1"/>
  <c r="K6" i="1"/>
  <c r="K5" i="1"/>
  <c r="J1" i="1"/>
</calcChain>
</file>

<file path=xl/sharedStrings.xml><?xml version="1.0" encoding="utf-8"?>
<sst xmlns="http://schemas.openxmlformats.org/spreadsheetml/2006/main" count="148" uniqueCount="54">
  <si>
    <t>A</t>
  </si>
  <si>
    <t>B</t>
  </si>
  <si>
    <t>C</t>
  </si>
  <si>
    <t>D</t>
  </si>
  <si>
    <t>E</t>
  </si>
  <si>
    <t>F</t>
  </si>
  <si>
    <t>AB</t>
  </si>
  <si>
    <t>AC</t>
  </si>
  <si>
    <t>AD</t>
  </si>
  <si>
    <t>AE</t>
  </si>
  <si>
    <t>ABC</t>
  </si>
  <si>
    <t>ABD</t>
  </si>
  <si>
    <t>BCD</t>
  </si>
  <si>
    <t>DEF</t>
  </si>
  <si>
    <t>ABCDEF</t>
  </si>
  <si>
    <t>A,B,C,D,E,F,AB,AC,AD,AE,ABC,ABD,BCD,DEF,ABCDEF,</t>
  </si>
  <si>
    <t>A ,B,C,D,E,F ,AB,AC,AD,AE,ABC ,ABD,BCD,DEF,ABCDEF,G, A,</t>
  </si>
  <si>
    <t>A,B,C,D,E,F,AB,AC,AD,AE,ABC,ABD,BCD,DEF,G ,AG</t>
  </si>
  <si>
    <t>A,B,C,D,E,F,AB,AC,AD,AE,ABC,ABD,BCD,DEF,ABCDEF, ABC, ABD</t>
  </si>
  <si>
    <t>A,B,C,D,E,F,AB,AC,AD,AE,ABC,ABD,BCD,DEF</t>
  </si>
  <si>
    <t>"277,288,299"</t>
  </si>
  <si>
    <t>A,"B","C","D","E","F","AB","AC","AD","AE","ABC","ABD","BCD","DEF","ABCDEF","G","GG"</t>
  </si>
  <si>
    <t>A,B,C,D,E,F,AB,AC,AD,AE,ABC,ABD,BCD,DEF,ABCDEF,AGF,EB,EB, B, D</t>
  </si>
  <si>
    <t>ACDB</t>
  </si>
  <si>
    <t>CA</t>
  </si>
  <si>
    <t>ABCD</t>
  </si>
  <si>
    <t>ACBC</t>
  </si>
  <si>
    <t>AAA</t>
  </si>
  <si>
    <t>A,B,C,D,AB,AC,AD,ABC,ABD,ABCD</t>
  </si>
  <si>
    <t>A,C,D ,AB,AAA</t>
  </si>
  <si>
    <t>A,B,C,D,AA,A,AB,AC,AD,ABC,ABD,ABCD,BBB,CC,D,DD,AABCCDD,AAAA</t>
  </si>
  <si>
    <t>ABCDAAAABACADABCABDABCDBBBCCDDDAABCCDDAAAA</t>
  </si>
  <si>
    <t>ACDABAAA</t>
  </si>
  <si>
    <t>A,B,C,D,AA,A,AB,AC,AD,ABC,ABD,ABCD,BBB,CC,D,DD,AABCCDD,AAAA,AA,BBB</t>
    <phoneticPr fontId="2" type="noConversion"/>
  </si>
  <si>
    <t>A,B,C,D,AA,A,AB,AC,AD,ABC,ABD,ABCD,BBB,CC,D,DD,AABCCDD,AAAA,AA,o</t>
    <phoneticPr fontId="2" type="noConversion"/>
  </si>
  <si>
    <t>A,C,D,AB,AAAA,a</t>
  </si>
  <si>
    <t>OFFSET({1,2,3;4,5,6;7,8,9},{0;1;2},{0;0;0},{1;1;1};{3;3;3})</t>
  </si>
  <si>
    <t>SUMPRODUCT(--(SUBTOTAL(9,OFFSET(--EXACT(MID(","&amp;B15&amp;",",FIND(CHAR(9),SUBSTITUTE(","&amp;B15&amp;",",",",CHAR(9),ROW(INDIRECT("1:"&amp;LEN(B15)-LEN(SUBSTITUTE(B15,",",""))+1))))+1,FIND(CHAR(9),SUBSTITUTE(","&amp;B15&amp;",",",",CHAR(9),ROW(INDIRECT("2:"&amp;LEN(B15)-LEN(SUBSTITUTE(B15,",",""))+2))))-FIND(CHAR(9),SUBSTITUTE(","&amp;B15&amp;",",",",CHAR(9),ROW(INDIRECT("1:"&amp;LEN(B15)-LEN(SUBSTITUTE(B15,",",""))+1))))-1),MID(","&amp;A15&amp;",",FIND(CHAR(9),SUBSTITUTE(","&amp;A15&amp;",",",",CHAR(9),TRANSPOSE(ROW(INDIRECT("1:"&amp;LEN(A15)-LEN(SUBSTITUTE(A15,",",""))+1)))))+1,FIND(CHAR(9),SUBSTITUTE(","&amp;A15&amp;",",",",CHAR(9),TRANSPOSE(ROW(INDIRECT("2:"&amp;LEN(A15)-LEN(SUBSTITUTE(A15,",",""))+2)))))-FIND(CHAR(9),SUBSTITUTE(","&amp;A15&amp;",",",",CHAR(9),TRANSPOSE(ROW(INDIRECT("1:"&amp;LEN(A15)-LEN(SUBSTITUTE(A15,",",""))+1)))))-1)),ROW(--EXACT(MID(","&amp;B15&amp;",",FIND(CHAR(9),SUBSTITUTE(","&amp;B15&amp;",",",",CHAR(9),ROW(INDIRECT("1:"&amp;LEN(B15)-LEN(SUBSTITUTE(B15,",",""))+1))))+1,FIND(CHAR(9),SUBSTITUTE(","&amp;B15&amp;",",",",CHAR(9),ROW(INDIRECT("2:"&amp;LEN(B15)-LEN(SUBSTITUTE(B15,",",""))+2))))-FIND(CHAR(9),SUBSTITUTE(","&amp;B15&amp;",",",",CHAR(9),ROW(INDIRECT("1:"&amp;LEN(B15)-LEN(SUBSTITUTE(B15,",",""))+1))))-1),MID(","&amp;A15&amp;",",FIND(CHAR(9),SUBSTITUTE(","&amp;A15&amp;",",",",CHAR(9),TRANSPOSE(ROW(INDIRECT("1:"&amp;LEN(A15)-LEN(SUBSTITUTE(A15,",",""))+1)))))+1,FIND(CHAR(9),SUBSTITUTE(","&amp;A15&amp;",",",",CHAR(9),TRANSPOSE(ROW(INDIRECT("2:"&amp;LEN(A15)-LEN(SUBSTITUTE(A15,",",""))+2)))))-FIND(CHAR(9),SUBSTITUTE(","&amp;A15&amp;",",",",CHAR(9),TRANSPOSE(ROW(INDIRECT("1:"&amp;LEN(A15)-LEN(SUBSTITUTE(A15,",",""))+1)))))-1)))-MIN(ROW(--EXACT(MID(","&amp;B15&amp;",",FIND(CHAR(9),SUBSTITUTE(","&amp;B15&amp;",",",",CHAR(9),ROW(INDIRECT("1:"&amp;LEN(B15)-LEN(SUBSTITUTE(B15,",",""))+1))))+1,FIND(CHAR(9),SUBSTITUTE(","&amp;B15&amp;",",",",CHAR(9),ROW(INDIRECT("2:"&amp;LEN(B15)-LEN(SUBSTITUTE(B15,",",""))+2))))-FIND(CHAR(9),SUBSTITUTE(","&amp;B15&amp;",",",",CHAR(9),ROW(INDIRECT("1:"&amp;LEN(B15)-LEN(SUBSTITUTE(B15,",",""))+1))))-1),MID(","&amp;A15&amp;",",FIND(CHAR(9),SUBSTITUTE(","&amp;A15&amp;",",",",CHAR(9),TRANSPOSE(ROW(INDIRECT("1:"&amp;LEN(A15)-LEN(SUBSTITUTE(A15,",",""))+1)))))+1,FIND(CHAR(9),SUBSTITUTE(","&amp;A15&amp;",",",",CHAR(9),TRANSPOSE(ROW(INDIRECT("2:"&amp;LEN(A15)-LEN(SUBSTITUTE(A15,",",""))+2)))))-FIND(CHAR(9),SUBSTITUTE(","&amp;A15&amp;",",",",CHAR(9),TRANSPOSE(ROW(INDIRECT("1:"&amp;LEN(A15)-LEN(SUBSTITUTE(A15,",",""))+1)))))-1)))),0,1))&lt;&gt;1),SUBTOTAL(9,OFFSET(--EXACT(MID(","&amp;B15&amp;",",FIND(CHAR(9),SUBSTITUTE(","&amp;B15&amp;",",",",CHAR(9),ROW(INDIRECT("1:"&amp;LEN(B15)-LEN(SUBSTITUTE(B15,",",""))+1))))+1,FIND(CHAR(9),SUBSTITUTE(","&amp;B15&amp;",",",",CHAR(9),ROW(INDIRECT("2:"&amp;LEN(B15)-LEN(SUBSTITUTE(B15,",",""))+2))))-FIND(CHAR(9),SUBSTITUTE(","&amp;B15&amp;",",",",CHAR(9),ROW(INDIRECT("1:"&amp;LEN(B15)-LEN(SUBSTITUTE(B15,",",""))+1))))-1),MID(","&amp;A15&amp;",",FIND(CHAR(9),SUBSTITUTE(","&amp;A15&amp;",",",",CHAR(9),TRANSPOSE(ROW(INDIRECT("1:"&amp;LEN(A15)-LEN(SUBSTITUTE(A15,",",""))+1)))))+1,FIND(CHAR(9),SUBSTITUTE(","&amp;A15&amp;",",",",CHAR(9),TRANSPOSE(ROW(INDIRECT("2:"&amp;LEN(A15)-LEN(SUBSTITUTE(A15,",",""))+2)))))-FIND(CHAR(9),SUBSTITUTE(","&amp;A15&amp;",",",",CHAR(9),TRANSPOSE(ROW(INDIRECT("1:"&amp;LEN(A15)-LEN(SUBSTITUTE(A15,",",""))+1)))))-1)),ROW(--EXACT(MID(","&amp;B15&amp;",",FIND(CHAR(9),SUBSTITUTE(","&amp;B15&amp;",",",",CHAR(9),ROW(INDIRECT("1:"&amp;LEN(B15)-LEN(SUBSTITUTE(B15,",",""))+1))))+1,FIND(CHAR(9),SUBSTITUTE(","&amp;B15&amp;",",",",CHAR(9),ROW(INDIRECT("2:"&amp;LEN(B15)-LEN(SUBSTITUTE(B15,",",""))+2))))-FIND(CHAR(9),SUBSTITUTE(","&amp;B15&amp;",",",",CHAR(9),ROW(INDIRECT("1:"&amp;LEN(B15)-LEN(SUBSTITUTE(B15,",",""))+1))))-1),MID(","&amp;A15&amp;",",FIND(CHAR(9),SUBSTITUTE(","&amp;A15&amp;",",",",CHAR(9),TRANSPOSE(ROW(INDIRECT("1:"&amp;LEN(A15)-LEN(SUBSTITUTE(A15,",",""))+1)))))+1,FIND(CHAR(9),SUBSTITUTE(","&amp;A15&amp;",",",",CHAR(9),TRANSPOSE(ROW(INDIRECT("2:"&amp;LEN(A15)-LEN(SUBSTITUTE(A15,",",""))+2)))))-FIND(CHAR(9),SUBSTITUTE(","&amp;A15&amp;",",",",CHAR(9),TRANSPOSE(ROW(INDIRECT("1:"&amp;LEN(A15)-LEN(SUBSTITUTE(A15,",",""))+1)))))-1)))-MIN(ROW(--EXACT(MID(","&amp;B15&amp;",",FIND(CHAR(9),SUBSTITUTE(","&amp;B15&amp;",",",",CHAR(9),ROW(INDIRECT("1:"&amp;LEN(B15)-LEN(SUBSTITUTE(B15,",",""))+1))))+1,FIND(CHAR(9),SUBSTITUTE(","&amp;B15&amp;",",",",CHAR(9),ROW(INDIRECT("2:"&amp;LEN(B15)-LEN(SUBSTITUTE(B15,",",""))+2))))-FIND(CHAR(9),SUBSTITUTE(","&amp;B15&amp;",",",",CHAR(9),ROW(INDIRECT("1:"&amp;LEN(B15)-LEN(SUBSTITUTE(B15,",",""))+1))))-1),MID(","&amp;A15&amp;",",FIND(CHAR(9),SUBSTITUTE(","&amp;A15&amp;",",",",CHAR(9),TRANSPOSE(ROW(INDIRECT("1:"&amp;LEN(A15)-LEN(SUBSTITUTE(A15,",",""))+1)))))+1,FIND(CHAR(9),SUBSTITUTE(","&amp;A15&amp;",",",",CHAR(9),TRANSPOSE(ROW(INDIRECT("2:"&amp;LEN(A15)-LEN(SUBSTITUTE(A15,",",""))+2)))))-FIND(CHAR(9),SUBSTITUTE(","&amp;A15&amp;",",",",CHAR(9),TRANSPOSE(ROW(INDIRECT("1:"&amp;LEN(A15)-LEN(SUBSTITUTE(A15,",",""))+1)))))-1)))),0,1)))</t>
    <phoneticPr fontId="2" type="noConversion"/>
  </si>
  <si>
    <t>OFFSET({1,0,0,0,0,1,0,0,0,0,0,0,0,0,0,0,0,0;0,0,1,0,0,0,0,0,0,0,0,0,0,0,0,0,0,0;0,0,0,1,0,0,0,0,0,0,0,0,0,0,1,0,0,0;0,0,0,0,0,0,1,0,0,0,0,0,0,0,0,0,0,0;0,0,0,0,0,0,0,0,0,0,0,0,0,0,0,0,0,1;0,0,0,0,0,0,0,0,0,0,0,0,0,0,0,0,0,0},ROW({1,0,0,0,0,1,0,0,0,0,0,0,0,0,0,0,0,0;0,0,1,0,0,0,0,0,0,0,0,0,0,0,0,0,0,0;0,0,0,1,0,0,0,0,0,0,0,0,0,0,1,0,0,0;0,0,0,0,0,0,1,0,0,0,0,0,0,0,0,0,0,0;0,0,0,0,0,0,0,0,0,0,0,0,0,0,0,0,0,1;0,0,0,0,0,0,0,0,0,0,0,0,0,0,0,0,0,0})-MIN(ROW({1,0,0,0,0,1,0,0,0,0,0,0,0,0,0,0,0,0;0,0,1,0,0,0,0,0,0,0,0,0,0,0,0,0,0,0;0,0,0,1,0,0,0,0,0,0,0,0,0,0,1,0,0,0;0,0,0,0,0,0,1,0,0,0,0,0,0,0,0,0,0,0;0,0,0,0,0,0,0,0,0,0,0,0,0,0,0,0,0,1;0,0,0,0,0,0,0,0,0,0,0,0,0,0,0,0,0,0})),0,1)</t>
    <phoneticPr fontId="2" type="noConversion"/>
  </si>
  <si>
    <t>OFFSET(
                {1,0,0,0,0,1,0,0,0,0,0,0,0,0,0,0,0,0;0,0,1,0,0,0,0,0,0,0,0,0,0,0,0,0,0,0;0,0,0,1,0,0,0,0,0,0,0,0,0,0,1,0,0,0;0,0,0,0,0,0,1,0,0,0,0,0,0,0,0,0,0,0;0,0,0,0,0,0,0,0,0,0,0,0,0,0,0,0,0,1;0,0,0,0,0,0,0,0,0,0,0,0,0,0,0,0,0,0},
                {1;2;3;4;5;6},
                0,
                1
            )</t>
    <phoneticPr fontId="2" type="noConversion"/>
  </si>
  <si>
    <t>A,B,C,D,AA,A,AB,AC,AD,ABC,ABD,ABCD,BBB,CC,D,DD,AABCCDD,AAAA</t>
    <phoneticPr fontId="2" type="noConversion"/>
  </si>
  <si>
    <t>A,B,C,D,E</t>
    <phoneticPr fontId="2" type="noConversion"/>
  </si>
  <si>
    <t>A,B,C,D,E,D</t>
    <phoneticPr fontId="2" type="noConversion"/>
  </si>
  <si>
    <t>A,B,C,D,AA,A,AB,AC,AD,ABC,ABD,ABCD,BBB,CC,D,DD,AABCCDD,AAAA</t>
    <phoneticPr fontId="2" type="noConversion"/>
  </si>
  <si>
    <t>A,B,C,D,AA,AB,AC,AD,ABC,ABD,ABCD,BBB,CC,DD,AABCCDD,AAAA</t>
    <phoneticPr fontId="2" type="noConversion"/>
  </si>
  <si>
    <t>A,B,C,AB,AC,BC,ABC</t>
    <phoneticPr fontId="2" type="noConversion"/>
  </si>
  <si>
    <t>A,A,BC,ABC,B,A,C</t>
    <phoneticPr fontId="2" type="noConversion"/>
  </si>
  <si>
    <t>A,BC,ABC,aBC</t>
    <phoneticPr fontId="2" type="noConversion"/>
  </si>
  <si>
    <t>ABC,BC,ABC,ABC ,A,A</t>
    <phoneticPr fontId="2" type="noConversion"/>
  </si>
  <si>
    <t>A,B,BC,AB,AB,AB,ABC</t>
    <phoneticPr fontId="2" type="noConversion"/>
  </si>
  <si>
    <t>A,C,D,AB,AAAA,a,A</t>
    <phoneticPr fontId="2" type="noConversion"/>
  </si>
  <si>
    <t>,A,B,C,ABC,bc , abc ,</t>
    <phoneticPr fontId="2" type="noConversion"/>
  </si>
  <si>
    <t>A,B,C,E</t>
    <phoneticPr fontId="2" type="noConversion"/>
  </si>
  <si>
    <t>A,B,C,D,E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</si>
</sst>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indexed="8"/>
      <name val="宋体"/>
      <family val="2"/>
      <scheme val="minor"/>
    </font>
    <font>
      <sz val="10"/>
      <color rgb="FF333333"/>
      <name val="Verdana"/>
      <family val="2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3" fontId="0" fillId="0" borderId="0" xfId="0" applyNumberFormat="1"/>
    <xf numFmtId="0" fontId="0" fillId="0" borderId="0" xfId="0" applyAlignment="1">
      <alignment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024"/>
  <sheetViews>
    <sheetView workbookViewId="0">
      <selection activeCell="C1" sqref="C1"/>
    </sheetView>
  </sheetViews>
  <sheetFormatPr defaultRowHeight="13.5" x14ac:dyDescent="0.15"/>
  <cols>
    <col min="2" max="2" width="120.75" customWidth="1"/>
    <col min="10" max="10" width="11.125" customWidth="1"/>
    <col min="11" max="11" width="64.875" customWidth="1"/>
  </cols>
  <sheetData>
    <row r="1" spans="1:11" x14ac:dyDescent="0.15">
      <c r="A1" t="s">
        <v>0</v>
      </c>
      <c r="B1" t="s">
        <v>22</v>
      </c>
      <c r="C1" t="str">
        <f>TRIM(MID(SUBSTITUTE($B$1,",",REPT(" ",LEN($B$1))),((ROWS($B$1:$B1)-1)*LEN($B$1))+1,LEN($B$1)))</f>
        <v>A</v>
      </c>
      <c r="J1">
        <f>SUM(COUNTIF(C1:C15, {"A","B","C"}))</f>
        <v>3</v>
      </c>
      <c r="K1" t="str">
        <f>SUBSTITUTE(B1, ",", """,""")</f>
        <v>A","B","C","D","E","F","AB","AC","AD","AE","ABC","ABD","BCD","DEF","ABCDEF","AGF","EB","EB"," B"," D</v>
      </c>
    </row>
    <row r="2" spans="1:11" ht="14.25" x14ac:dyDescent="0.2">
      <c r="A2" t="s">
        <v>1</v>
      </c>
      <c r="B2" t="s">
        <v>15</v>
      </c>
      <c r="C2" t="str">
        <f>TRIM(MID(SUBSTITUTE($B$1,",",REPT(" ",LEN($B$1))),((ROWS($B$1:$B2)-1)*LEN($B$1))+1,LEN($B$1)))</f>
        <v>B</v>
      </c>
      <c r="J2">
        <f>SUM(COUNTIF($C$1:$C1024, {"A","B","C","D","E","F","AB","AC","AD","AE","ABC","ABD","BCD","DEF","ABCDEF"}))</f>
        <v>20</v>
      </c>
      <c r="K2" s="1" t="str">
        <f>SUBSTITUTE(SUBSTITUTE(REPLACE(B7,1,1,"{"),RIGHT(REPLACE(B7,1,1,"{"),1),"}")," ","")</f>
        <v>{277,288,299}</v>
      </c>
    </row>
    <row r="3" spans="1:11" x14ac:dyDescent="0.15">
      <c r="A3" t="s">
        <v>2</v>
      </c>
      <c r="B3" t="s">
        <v>16</v>
      </c>
      <c r="C3" t="str">
        <f>TRIM(MID(SUBSTITUTE($B$1,",",REPT(" ",LEN($B$1))),((ROWS($B$1:$B3)-1)*LEN($B$1))+1,LEN($B$1)))</f>
        <v>C</v>
      </c>
    </row>
    <row r="4" spans="1:11" x14ac:dyDescent="0.15">
      <c r="A4" t="s">
        <v>3</v>
      </c>
      <c r="B4" t="s">
        <v>17</v>
      </c>
      <c r="C4" t="str">
        <f>TRIM(MID(SUBSTITUTE($B$1,",",REPT(" ",LEN($B$1))),((ROWS($B$1:$B4)-1)*LEN($B$1))+1,LEN($B$1)))</f>
        <v>D</v>
      </c>
      <c r="J4">
        <f>SUM(COUNTIF(A1:A4, {"A","B","C","D"}))</f>
        <v>4</v>
      </c>
      <c r="K4">
        <f>COUNTIF(A1:A4, OR("&lt;"&amp;{"A","B","C","D"}, "&gt;"&amp;{"A","B","C","D"}))</f>
        <v>0</v>
      </c>
    </row>
    <row r="5" spans="1:11" x14ac:dyDescent="0.15">
      <c r="A5" t="s">
        <v>4</v>
      </c>
      <c r="B5" t="s">
        <v>18</v>
      </c>
      <c r="C5" t="str">
        <f>TRIM(MID(SUBSTITUTE($B$1,",",REPT(" ",LEN($B$1))),((ROWS($B$1:$B5)-1)*LEN($B$1))+1,LEN($B$1)))</f>
        <v>E</v>
      </c>
      <c r="J5">
        <f>SUM(COUNTIF(A1:A4, {"A","B","C","D",""}))</f>
        <v>4</v>
      </c>
      <c r="K5">
        <f>SUMPRODUCT((COUNTIF(A1:A4,C1:C4)=0)*(C1:C4&lt;&gt;""))</f>
        <v>0</v>
      </c>
    </row>
    <row r="6" spans="1:11" x14ac:dyDescent="0.15">
      <c r="A6" t="s">
        <v>5</v>
      </c>
      <c r="B6" t="s">
        <v>19</v>
      </c>
      <c r="C6" t="str">
        <f>TRIM(MID(SUBSTITUTE($B$1,",",REPT(" ",LEN($B$1))),((ROWS($B$1:$B6)-1)*LEN($B$1))+1,LEN($B$1)))</f>
        <v>F</v>
      </c>
      <c r="J6">
        <f>SUM(COUNTIF(A1:A4, {"B","A","C","D"}))</f>
        <v>4</v>
      </c>
      <c r="K6">
        <f>SUMPRODUCT((COUNTIF(A1:A15,C1:C1024)=0)*(C1:C1024&lt;&gt;""))</f>
        <v>6</v>
      </c>
    </row>
    <row r="7" spans="1:11" x14ac:dyDescent="0.15">
      <c r="A7" t="s">
        <v>6</v>
      </c>
      <c r="B7" s="2" t="s">
        <v>20</v>
      </c>
      <c r="C7" t="str">
        <f>TRIM(MID(SUBSTITUTE($B$1,",",REPT(" ",LEN($B$1))),((ROWS($B$1:$B7)-1)*LEN($B$1))+1,LEN($B$1)))</f>
        <v>AB</v>
      </c>
      <c r="J7">
        <f>SUM(COUNTIF(A1:A4, {"A","B","C"}))</f>
        <v>3</v>
      </c>
      <c r="K7">
        <f>SUMPRODUCT((COUNTIF(A1:A15,{"A","B","C","D","E","F","AB","AC","AD","AE","ABC","ABD","BCD","DEF","ABCDEF","G","GG"})=0)*({"A","B","C","D","E","F","AB","AC","AD","AE","ABC","ABD","BCD","DEF","ABCDEF","G","GG"}&lt;&gt;""))</f>
        <v>2</v>
      </c>
    </row>
    <row r="8" spans="1:11" x14ac:dyDescent="0.15">
      <c r="A8" t="s">
        <v>7</v>
      </c>
      <c r="B8" t="s">
        <v>21</v>
      </c>
      <c r="C8" t="str">
        <f>TRIM(MID(SUBSTITUTE($B$1,",",REPT(" ",LEN($B$1))),((ROWS($B$1:$B8)-1)*LEN($B$1))+1,LEN($B$1)))</f>
        <v>AC</v>
      </c>
      <c r="J8">
        <f>SUM(COUNTIF(A1:A4, {"A","B","C","G"}))</f>
        <v>3</v>
      </c>
    </row>
    <row r="9" spans="1:11" x14ac:dyDescent="0.15">
      <c r="A9" t="s">
        <v>8</v>
      </c>
      <c r="C9" t="str">
        <f>TRIM(MID(SUBSTITUTE($B$1,",",REPT(" ",LEN($B$1))),((ROWS($B$1:$B9)-1)*LEN($B$1))+1,LEN($B$1)))</f>
        <v>AD</v>
      </c>
      <c r="J9">
        <f>SUM(COUNTIF(A1:A4, {"A","B","C","D","G"}))</f>
        <v>4</v>
      </c>
    </row>
    <row r="10" spans="1:11" x14ac:dyDescent="0.15">
      <c r="A10" t="s">
        <v>9</v>
      </c>
      <c r="C10" t="str">
        <f>TRIM(MID(SUBSTITUTE($B$1,",",REPT(" ",LEN($B$1))),((ROWS($B$1:$B10)-1)*LEN($B$1))+1,LEN($B$1)))</f>
        <v>AE</v>
      </c>
      <c r="J10">
        <f>SUM(COUNTIF(A1:A4, {"A","B","C","D","G",""}))</f>
        <v>4</v>
      </c>
    </row>
    <row r="11" spans="1:11" x14ac:dyDescent="0.15">
      <c r="A11" t="s">
        <v>10</v>
      </c>
      <c r="C11" t="str">
        <f>TRIM(MID(SUBSTITUTE($B$1,",",REPT(" ",LEN($B$1))),((ROWS($B$1:$B11)-1)*LEN($B$1))+1,LEN($B$1)))</f>
        <v>ABC</v>
      </c>
    </row>
    <row r="12" spans="1:11" x14ac:dyDescent="0.15">
      <c r="A12" t="s">
        <v>11</v>
      </c>
      <c r="C12" t="str">
        <f>TRIM(MID(SUBSTITUTE($B$1,",",REPT(" ",LEN($B$1))),((ROWS($B$1:$B12)-1)*LEN($B$1))+1,LEN($B$1)))</f>
        <v>ABD</v>
      </c>
    </row>
    <row r="13" spans="1:11" x14ac:dyDescent="0.15">
      <c r="A13" t="s">
        <v>12</v>
      </c>
      <c r="C13" t="str">
        <f>TRIM(MID(SUBSTITUTE($B$1,",",REPT(" ",LEN($B$1))),((ROWS($B$1:$B13)-1)*LEN($B$1))+1,LEN($B$1)))</f>
        <v>BCD</v>
      </c>
    </row>
    <row r="14" spans="1:11" x14ac:dyDescent="0.15">
      <c r="A14" t="s">
        <v>13</v>
      </c>
      <c r="C14" t="str">
        <f>TRIM(MID(SUBSTITUTE($B$1,",",REPT(" ",LEN($B$1))),((ROWS($B$1:$B14)-1)*LEN($B$1))+1,LEN($B$1)))</f>
        <v>DEF</v>
      </c>
    </row>
    <row r="15" spans="1:11" x14ac:dyDescent="0.15">
      <c r="A15" t="s">
        <v>14</v>
      </c>
      <c r="C15" t="str">
        <f>TRIM(MID(SUBSTITUTE($B$1,",",REPT(" ",LEN($B$1))),((ROWS($B$1:$B15)-1)*LEN($B$1))+1,LEN($B$1)))</f>
        <v>ABCDEF</v>
      </c>
    </row>
    <row r="16" spans="1:11" x14ac:dyDescent="0.15">
      <c r="C16" t="str">
        <f>TRIM(MID(SUBSTITUTE($B$1,",",REPT(" ",LEN($B$1))),((ROWS($B$1:$B16)-1)*LEN($B$1))+1,LEN($B$1)))</f>
        <v>AGF</v>
      </c>
    </row>
    <row r="17" spans="2:4" x14ac:dyDescent="0.15">
      <c r="C17" t="str">
        <f>TRIM(MID(SUBSTITUTE($B$1,",",REPT(" ",LEN($B$1))),((ROWS($B$1:$B17)-1)*LEN($B$1))+1,LEN($B$1)))</f>
        <v>EB</v>
      </c>
    </row>
    <row r="18" spans="2:4" x14ac:dyDescent="0.15">
      <c r="C18" t="str">
        <f>TRIM(MID(SUBSTITUTE($B$1,",",REPT(" ",LEN($B$1))),((ROWS($B$1:$B18)-1)*LEN($B$1))+1,LEN($B$1)))</f>
        <v>EB</v>
      </c>
    </row>
    <row r="19" spans="2:4" x14ac:dyDescent="0.15">
      <c r="C19" t="str">
        <f>TRIM(MID(SUBSTITUTE($B$1,",",REPT(" ",LEN($B$1))),((ROWS($B$1:$B19)-1)*LEN($B$1))+1,LEN($B$1)))</f>
        <v>B</v>
      </c>
    </row>
    <row r="20" spans="2:4" x14ac:dyDescent="0.15">
      <c r="C20" t="str">
        <f>TRIM(MID(SUBSTITUTE($B$1,",",REPT(" ",LEN($B$1))),((ROWS($B$1:$B20)-1)*LEN($B$1))+1,LEN($B$1)))</f>
        <v>D</v>
      </c>
    </row>
    <row r="21" spans="2:4" x14ac:dyDescent="0.15">
      <c r="C21" t="str">
        <f>TRIM(MID(SUBSTITUTE($B$1,",",REPT(" ",LEN($B$1))),((ROWS($B$1:$B21)-1)*LEN($B$1))+1,LEN($B$1)))</f>
        <v/>
      </c>
    </row>
    <row r="22" spans="2:4" x14ac:dyDescent="0.15">
      <c r="C22" t="str">
        <f>TRIM(MID(SUBSTITUTE($B$1,",",REPT(" ",LEN($B$1))),((ROWS($B$1:$B22)-1)*LEN($B$1))+1,LEN($B$1)))</f>
        <v/>
      </c>
    </row>
    <row r="23" spans="2:4" x14ac:dyDescent="0.15">
      <c r="C23" t="str">
        <f>TRIM(MID(SUBSTITUTE($B$1,",",REPT(" ",LEN($B$1))),((ROWS($B$1:$B23)-1)*LEN($B$1))+1,LEN($B$1)))</f>
        <v/>
      </c>
    </row>
    <row r="24" spans="2:4" x14ac:dyDescent="0.15">
      <c r="B24" t="s">
        <v>23</v>
      </c>
      <c r="C24" t="s">
        <v>7</v>
      </c>
      <c r="D24" t="str">
        <f t="array" aca="1" ref="D24" ca="1">IF((ISNA(SUM(MATCH(MID(C24,ROW(INDIRECT("1:"&amp;LEN(C24))),1),MID(B24,ROW(INDIRECT("1:"&amp;LEN(B24))),1),0)))+ISNA(SUM(MATCH(MID(B24,ROW(INDIRECT("1:"&amp;LEN(B24))),1),MID(C24,ROW(INDIRECT("1:"&amp;LEN(C24))),1),0))))&gt;1,"No Match","Match")</f>
        <v>Match</v>
      </c>
    </row>
    <row r="25" spans="2:4" x14ac:dyDescent="0.15">
      <c r="B25" t="s">
        <v>23</v>
      </c>
      <c r="C25" t="s">
        <v>24</v>
      </c>
      <c r="D25" t="str">
        <f t="array" aca="1" ref="D25" ca="1">IF((ISNA(SUM(MATCH(MID(C25,ROW(INDIRECT("1:"&amp;LEN(C25))),1),MID(B25,ROW(INDIRECT("1:"&amp;LEN(B25))),1),0)))+ISNA(SUM(MATCH(MID(B25,ROW(INDIRECT("1:"&amp;LEN(B25))),1),MID(C25,ROW(INDIRECT("1:"&amp;LEN(C25))),1),0))))&gt;1,"No Match","Match")</f>
        <v>Match</v>
      </c>
    </row>
    <row r="26" spans="2:4" x14ac:dyDescent="0.15">
      <c r="B26" t="s">
        <v>23</v>
      </c>
      <c r="C26" t="s">
        <v>11</v>
      </c>
      <c r="D26" t="str">
        <f t="array" aca="1" ref="D26" ca="1">IF((ISNA(SUM(MATCH(MID(C26,ROW(INDIRECT("1:"&amp;LEN(C26))),1),MID(B26,ROW(INDIRECT("1:"&amp;LEN(B26))),1),0)))+ISNA(SUM(MATCH(MID(B26,ROW(INDIRECT("1:"&amp;LEN(B26))),1),MID(C26,ROW(INDIRECT("1:"&amp;LEN(C26))),1),0))))&gt;1,"No Match","Match")</f>
        <v>Match</v>
      </c>
    </row>
    <row r="27" spans="2:4" x14ac:dyDescent="0.15">
      <c r="B27" t="s">
        <v>7</v>
      </c>
      <c r="C27" t="s">
        <v>25</v>
      </c>
      <c r="D27" t="str">
        <f t="array" aca="1" ref="D27" ca="1">IF((ISNA(SUM(MATCH(MID(C27,ROW(INDIRECT("1:"&amp;LEN(C27))),1),MID(B27,ROW(INDIRECT("1:"&amp;LEN(B27))),1),0)))+ISNA(SUM(MATCH(MID(B27,ROW(INDIRECT("1:"&amp;LEN(B27))),1),MID(C27,ROW(INDIRECT("1:"&amp;LEN(C27))),1),0))))&gt;1,"No Match","Match")</f>
        <v>Match</v>
      </c>
    </row>
    <row r="28" spans="2:4" x14ac:dyDescent="0.15">
      <c r="B28" t="s">
        <v>26</v>
      </c>
      <c r="C28" t="s">
        <v>11</v>
      </c>
      <c r="D28" t="str">
        <f t="array" aca="1" ref="D28" ca="1">IF((ISNA(SUM(MATCH(MID(C28,ROW(INDIRECT("1:"&amp;LEN(C28))),1),MID(B28,ROW(INDIRECT("1:"&amp;LEN(B28))),1),0)))+ISNA(SUM(MATCH(MID(B28,ROW(INDIRECT("1:"&amp;LEN(B28))),1),MID(C28,ROW(INDIRECT("1:"&amp;LEN(C28))),1),0))))&gt;1,"No Match","Match")</f>
        <v>No Match</v>
      </c>
    </row>
    <row r="29" spans="2:4" x14ac:dyDescent="0.15">
      <c r="B29" t="s">
        <v>0</v>
      </c>
      <c r="C29" t="s">
        <v>27</v>
      </c>
      <c r="D29" t="str">
        <f t="array" aca="1" ref="D29" ca="1">IF((ISNA(SUM(MATCH(MID(C29,ROW(INDIRECT("1:"&amp;LEN(C29))),1),MID(B29,ROW(INDIRECT("1:"&amp;LEN(B29))),1),0)))+ISNA(SUM(MATCH(MID(B29,ROW(INDIRECT("1:"&amp;LEN(B29))),1),MID(C29,ROW(INDIRECT("1:"&amp;LEN(C29))),1),0))))&gt;1,"No Match","Match")</f>
        <v>Match</v>
      </c>
    </row>
    <row r="30" spans="2:4" x14ac:dyDescent="0.15">
      <c r="B30" t="s">
        <v>28</v>
      </c>
      <c r="C30" t="str">
        <f>TRIM(MID(SUBSTITUTE($B$1,",",REPT(" ",LEN($B$1))),((ROWS($B$1:$B30)-1)*LEN($B$1))+1,LEN($B$1)))</f>
        <v/>
      </c>
    </row>
    <row r="31" spans="2:4" x14ac:dyDescent="0.15">
      <c r="C31" t="str">
        <f>TRIM(MID(SUBSTITUTE($B$1,",",REPT(" ",LEN($B$1))),((ROWS($B$1:$B31)-1)*LEN($B$1))+1,LEN($B$1)))</f>
        <v/>
      </c>
    </row>
    <row r="32" spans="2:4" x14ac:dyDescent="0.15">
      <c r="C32" t="str">
        <f>TRIM(MID(SUBSTITUTE($B$1,",",REPT(" ",LEN($B$1))),((ROWS($B$1:$B32)-1)*LEN($B$1))+1,LEN($B$1)))</f>
        <v/>
      </c>
    </row>
    <row r="33" spans="3:3" x14ac:dyDescent="0.15">
      <c r="C33" t="str">
        <f>TRIM(MID(SUBSTITUTE($B$1,",",REPT(" ",LEN($B$1))),((ROWS($B$1:$B33)-1)*LEN($B$1))+1,LEN($B$1)))</f>
        <v/>
      </c>
    </row>
    <row r="34" spans="3:3" x14ac:dyDescent="0.15">
      <c r="C34" t="str">
        <f>TRIM(MID(SUBSTITUTE($B$1,",",REPT(" ",LEN($B$1))),((ROWS($B$1:$B34)-1)*LEN($B$1))+1,LEN($B$1)))</f>
        <v/>
      </c>
    </row>
    <row r="35" spans="3:3" x14ac:dyDescent="0.15">
      <c r="C35" t="str">
        <f>TRIM(MID(SUBSTITUTE($B$1,",",REPT(" ",LEN($B$1))),((ROWS($B$1:$B35)-1)*LEN($B$1))+1,LEN($B$1)))</f>
        <v/>
      </c>
    </row>
    <row r="36" spans="3:3" x14ac:dyDescent="0.15">
      <c r="C36" t="str">
        <f>TRIM(MID(SUBSTITUTE($B$1,",",REPT(" ",LEN($B$1))),((ROWS($B$1:$B36)-1)*LEN($B$1))+1,LEN($B$1)))</f>
        <v/>
      </c>
    </row>
    <row r="37" spans="3:3" x14ac:dyDescent="0.15">
      <c r="C37" t="str">
        <f>TRIM(MID(SUBSTITUTE($B$1,",",REPT(" ",LEN($B$1))),((ROWS($B$1:$B37)-1)*LEN($B$1))+1,LEN($B$1)))</f>
        <v/>
      </c>
    </row>
    <row r="38" spans="3:3" x14ac:dyDescent="0.15">
      <c r="C38" t="str">
        <f>TRIM(MID(SUBSTITUTE($B$1,",",REPT(" ",LEN($B$1))),((ROWS($B$1:$B38)-1)*LEN($B$1))+1,LEN($B$1)))</f>
        <v/>
      </c>
    </row>
    <row r="39" spans="3:3" x14ac:dyDescent="0.15">
      <c r="C39" t="str">
        <f>TRIM(MID(SUBSTITUTE($B$1,",",REPT(" ",LEN($B$1))),((ROWS($B$1:$B39)-1)*LEN($B$1))+1,LEN($B$1)))</f>
        <v/>
      </c>
    </row>
    <row r="40" spans="3:3" x14ac:dyDescent="0.15">
      <c r="C40" t="str">
        <f>TRIM(MID(SUBSTITUTE($B$1,",",REPT(" ",LEN($B$1))),((ROWS($B$1:$B40)-1)*LEN($B$1))+1,LEN($B$1)))</f>
        <v/>
      </c>
    </row>
    <row r="41" spans="3:3" x14ac:dyDescent="0.15">
      <c r="C41" t="str">
        <f>TRIM(MID(SUBSTITUTE($B$1,",",REPT(" ",LEN($B$1))),((ROWS($B$1:$B41)-1)*LEN($B$1))+1,LEN($B$1)))</f>
        <v/>
      </c>
    </row>
    <row r="42" spans="3:3" x14ac:dyDescent="0.15">
      <c r="C42" t="str">
        <f>TRIM(MID(SUBSTITUTE($B$1,",",REPT(" ",LEN($B$1))),((ROWS($B$1:$B42)-1)*LEN($B$1))+1,LEN($B$1)))</f>
        <v/>
      </c>
    </row>
    <row r="43" spans="3:3" x14ac:dyDescent="0.15">
      <c r="C43" t="str">
        <f>TRIM(MID(SUBSTITUTE($B$1,",",REPT(" ",LEN($B$1))),((ROWS($B$1:$B43)-1)*LEN($B$1))+1,LEN($B$1)))</f>
        <v/>
      </c>
    </row>
    <row r="44" spans="3:3" x14ac:dyDescent="0.15">
      <c r="C44" t="str">
        <f>TRIM(MID(SUBSTITUTE($B$1,",",REPT(" ",LEN($B$1))),((ROWS($B$1:$B44)-1)*LEN($B$1))+1,LEN($B$1)))</f>
        <v/>
      </c>
    </row>
    <row r="45" spans="3:3" x14ac:dyDescent="0.15">
      <c r="C45" t="str">
        <f>TRIM(MID(SUBSTITUTE($B$1,",",REPT(" ",LEN($B$1))),((ROWS($B$1:$B45)-1)*LEN($B$1))+1,LEN($B$1)))</f>
        <v/>
      </c>
    </row>
    <row r="46" spans="3:3" x14ac:dyDescent="0.15">
      <c r="C46" t="str">
        <f>TRIM(MID(SUBSTITUTE($B$1,",",REPT(" ",LEN($B$1))),((ROWS($B$1:$B46)-1)*LEN($B$1))+1,LEN($B$1)))</f>
        <v/>
      </c>
    </row>
    <row r="47" spans="3:3" x14ac:dyDescent="0.15">
      <c r="C47" t="str">
        <f>TRIM(MID(SUBSTITUTE($B$1,",",REPT(" ",LEN($B$1))),((ROWS($B$1:$B47)-1)*LEN($B$1))+1,LEN($B$1)))</f>
        <v/>
      </c>
    </row>
    <row r="48" spans="3:3" x14ac:dyDescent="0.15">
      <c r="C48" t="str">
        <f>TRIM(MID(SUBSTITUTE($B$1,",",REPT(" ",LEN($B$1))),((ROWS($B$1:$B48)-1)*LEN($B$1))+1,LEN($B$1)))</f>
        <v/>
      </c>
    </row>
    <row r="49" spans="3:3" x14ac:dyDescent="0.15">
      <c r="C49" t="str">
        <f>TRIM(MID(SUBSTITUTE($B$1,",",REPT(" ",LEN($B$1))),((ROWS($B$1:$B49)-1)*LEN($B$1))+1,LEN($B$1)))</f>
        <v/>
      </c>
    </row>
    <row r="50" spans="3:3" x14ac:dyDescent="0.15">
      <c r="C50" t="str">
        <f>TRIM(MID(SUBSTITUTE($B$1,",",REPT(" ",LEN($B$1))),((ROWS($B$1:$B50)-1)*LEN($B$1))+1,LEN($B$1)))</f>
        <v/>
      </c>
    </row>
    <row r="51" spans="3:3" x14ac:dyDescent="0.15">
      <c r="C51" t="str">
        <f>TRIM(MID(SUBSTITUTE($B$1,",",REPT(" ",LEN($B$1))),((ROWS($B$1:$B51)-1)*LEN($B$1))+1,LEN($B$1)))</f>
        <v/>
      </c>
    </row>
    <row r="52" spans="3:3" x14ac:dyDescent="0.15">
      <c r="C52" t="str">
        <f>TRIM(MID(SUBSTITUTE($B$1,",",REPT(" ",LEN($B$1))),((ROWS($B$1:$B52)-1)*LEN($B$1))+1,LEN($B$1)))</f>
        <v/>
      </c>
    </row>
    <row r="53" spans="3:3" x14ac:dyDescent="0.15">
      <c r="C53" t="str">
        <f>TRIM(MID(SUBSTITUTE($B$1,",",REPT(" ",LEN($B$1))),((ROWS($B$1:$B53)-1)*LEN($B$1))+1,LEN($B$1)))</f>
        <v/>
      </c>
    </row>
    <row r="54" spans="3:3" x14ac:dyDescent="0.15">
      <c r="C54" t="str">
        <f>TRIM(MID(SUBSTITUTE($B$1,",",REPT(" ",LEN($B$1))),((ROWS($B$1:$B54)-1)*LEN($B$1))+1,LEN($B$1)))</f>
        <v/>
      </c>
    </row>
    <row r="55" spans="3:3" x14ac:dyDescent="0.15">
      <c r="C55" t="str">
        <f>TRIM(MID(SUBSTITUTE($B$1,",",REPT(" ",LEN($B$1))),((ROWS($B$1:$B55)-1)*LEN($B$1))+1,LEN($B$1)))</f>
        <v/>
      </c>
    </row>
    <row r="56" spans="3:3" x14ac:dyDescent="0.15">
      <c r="C56" t="str">
        <f>TRIM(MID(SUBSTITUTE($B$1,",",REPT(" ",LEN($B$1))),((ROWS($B$1:$B56)-1)*LEN($B$1))+1,LEN($B$1)))</f>
        <v/>
      </c>
    </row>
    <row r="57" spans="3:3" x14ac:dyDescent="0.15">
      <c r="C57" t="str">
        <f>TRIM(MID(SUBSTITUTE($B$1,",",REPT(" ",LEN($B$1))),((ROWS($B$1:$B57)-1)*LEN($B$1))+1,LEN($B$1)))</f>
        <v/>
      </c>
    </row>
    <row r="58" spans="3:3" x14ac:dyDescent="0.15">
      <c r="C58" t="str">
        <f>TRIM(MID(SUBSTITUTE($B$1,",",REPT(" ",LEN($B$1))),((ROWS($B$1:$B58)-1)*LEN($B$1))+1,LEN($B$1)))</f>
        <v/>
      </c>
    </row>
    <row r="59" spans="3:3" x14ac:dyDescent="0.15">
      <c r="C59" t="str">
        <f>TRIM(MID(SUBSTITUTE($B$1,",",REPT(" ",LEN($B$1))),((ROWS($B$1:$B59)-1)*LEN($B$1))+1,LEN($B$1)))</f>
        <v/>
      </c>
    </row>
    <row r="60" spans="3:3" x14ac:dyDescent="0.15">
      <c r="C60" t="str">
        <f>TRIM(MID(SUBSTITUTE($B$1,",",REPT(" ",LEN($B$1))),((ROWS($B$1:$B60)-1)*LEN($B$1))+1,LEN($B$1)))</f>
        <v/>
      </c>
    </row>
    <row r="61" spans="3:3" x14ac:dyDescent="0.15">
      <c r="C61" t="str">
        <f>TRIM(MID(SUBSTITUTE($B$1,",",REPT(" ",LEN($B$1))),((ROWS($B$1:$B61)-1)*LEN($B$1))+1,LEN($B$1)))</f>
        <v/>
      </c>
    </row>
    <row r="62" spans="3:3" x14ac:dyDescent="0.15">
      <c r="C62" t="str">
        <f>TRIM(MID(SUBSTITUTE($B$1,",",REPT(" ",LEN($B$1))),((ROWS($B$1:$B62)-1)*LEN($B$1))+1,LEN($B$1)))</f>
        <v/>
      </c>
    </row>
    <row r="63" spans="3:3" x14ac:dyDescent="0.15">
      <c r="C63" t="str">
        <f>TRIM(MID(SUBSTITUTE($B$1,",",REPT(" ",LEN($B$1))),((ROWS($B$1:$B63)-1)*LEN($B$1))+1,LEN($B$1)))</f>
        <v/>
      </c>
    </row>
    <row r="64" spans="3:3" x14ac:dyDescent="0.15">
      <c r="C64" t="str">
        <f>TRIM(MID(SUBSTITUTE($B$1,",",REPT(" ",LEN($B$1))),((ROWS($B$1:$B64)-1)*LEN($B$1))+1,LEN($B$1)))</f>
        <v/>
      </c>
    </row>
    <row r="65" spans="3:3" x14ac:dyDescent="0.15">
      <c r="C65" t="str">
        <f>TRIM(MID(SUBSTITUTE($B$1,",",REPT(" ",LEN($B$1))),((ROWS($B$1:$B65)-1)*LEN($B$1))+1,LEN($B$1)))</f>
        <v/>
      </c>
    </row>
    <row r="66" spans="3:3" x14ac:dyDescent="0.15">
      <c r="C66" t="str">
        <f>TRIM(MID(SUBSTITUTE($B$1,",",REPT(" ",LEN($B$1))),((ROWS($B$1:$B66)-1)*LEN($B$1))+1,LEN($B$1)))</f>
        <v/>
      </c>
    </row>
    <row r="67" spans="3:3" x14ac:dyDescent="0.15">
      <c r="C67" t="str">
        <f>TRIM(MID(SUBSTITUTE($B$1,",",REPT(" ",LEN($B$1))),((ROWS($B$1:$B67)-1)*LEN($B$1))+1,LEN($B$1)))</f>
        <v/>
      </c>
    </row>
    <row r="68" spans="3:3" x14ac:dyDescent="0.15">
      <c r="C68" t="str">
        <f>TRIM(MID(SUBSTITUTE($B$1,",",REPT(" ",LEN($B$1))),((ROWS($B$1:$B68)-1)*LEN($B$1))+1,LEN($B$1)))</f>
        <v/>
      </c>
    </row>
    <row r="69" spans="3:3" x14ac:dyDescent="0.15">
      <c r="C69" t="str">
        <f>TRIM(MID(SUBSTITUTE($B$1,",",REPT(" ",LEN($B$1))),((ROWS($B$1:$B69)-1)*LEN($B$1))+1,LEN($B$1)))</f>
        <v/>
      </c>
    </row>
    <row r="70" spans="3:3" x14ac:dyDescent="0.15">
      <c r="C70" t="str">
        <f>TRIM(MID(SUBSTITUTE($B$1,",",REPT(" ",LEN($B$1))),((ROWS($B$1:$B70)-1)*LEN($B$1))+1,LEN($B$1)))</f>
        <v/>
      </c>
    </row>
    <row r="71" spans="3:3" x14ac:dyDescent="0.15">
      <c r="C71" t="str">
        <f>TRIM(MID(SUBSTITUTE($B$1,",",REPT(" ",LEN($B$1))),((ROWS($B$1:$B71)-1)*LEN($B$1))+1,LEN($B$1)))</f>
        <v/>
      </c>
    </row>
    <row r="72" spans="3:3" x14ac:dyDescent="0.15">
      <c r="C72" t="str">
        <f>TRIM(MID(SUBSTITUTE($B$1,",",REPT(" ",LEN($B$1))),((ROWS($B$1:$B72)-1)*LEN($B$1))+1,LEN($B$1)))</f>
        <v/>
      </c>
    </row>
    <row r="73" spans="3:3" x14ac:dyDescent="0.15">
      <c r="C73" t="str">
        <f>TRIM(MID(SUBSTITUTE($B$1,",",REPT(" ",LEN($B$1))),((ROWS($B$1:$B73)-1)*LEN($B$1))+1,LEN($B$1)))</f>
        <v/>
      </c>
    </row>
    <row r="74" spans="3:3" x14ac:dyDescent="0.15">
      <c r="C74" t="str">
        <f>TRIM(MID(SUBSTITUTE($B$1,",",REPT(" ",LEN($B$1))),((ROWS($B$1:$B74)-1)*LEN($B$1))+1,LEN($B$1)))</f>
        <v/>
      </c>
    </row>
    <row r="75" spans="3:3" x14ac:dyDescent="0.15">
      <c r="C75" t="str">
        <f>TRIM(MID(SUBSTITUTE($B$1,",",REPT(" ",LEN($B$1))),((ROWS($B$1:$B75)-1)*LEN($B$1))+1,LEN($B$1)))</f>
        <v/>
      </c>
    </row>
    <row r="76" spans="3:3" x14ac:dyDescent="0.15">
      <c r="C76" t="str">
        <f>TRIM(MID(SUBSTITUTE($B$1,",",REPT(" ",LEN($B$1))),((ROWS($B$1:$B76)-1)*LEN($B$1))+1,LEN($B$1)))</f>
        <v/>
      </c>
    </row>
    <row r="77" spans="3:3" x14ac:dyDescent="0.15">
      <c r="C77" t="str">
        <f>TRIM(MID(SUBSTITUTE($B$1,",",REPT(" ",LEN($B$1))),((ROWS($B$1:$B77)-1)*LEN($B$1))+1,LEN($B$1)))</f>
        <v/>
      </c>
    </row>
    <row r="78" spans="3:3" x14ac:dyDescent="0.15">
      <c r="C78" t="str">
        <f>TRIM(MID(SUBSTITUTE($B$1,",",REPT(" ",LEN($B$1))),((ROWS($B$1:$B78)-1)*LEN($B$1))+1,LEN($B$1)))</f>
        <v/>
      </c>
    </row>
    <row r="79" spans="3:3" x14ac:dyDescent="0.15">
      <c r="C79" t="str">
        <f>TRIM(MID(SUBSTITUTE($B$1,",",REPT(" ",LEN($B$1))),((ROWS($B$1:$B79)-1)*LEN($B$1))+1,LEN($B$1)))</f>
        <v/>
      </c>
    </row>
    <row r="80" spans="3:3" x14ac:dyDescent="0.15">
      <c r="C80" t="str">
        <f>TRIM(MID(SUBSTITUTE($B$1,",",REPT(" ",LEN($B$1))),((ROWS($B$1:$B80)-1)*LEN($B$1))+1,LEN($B$1)))</f>
        <v/>
      </c>
    </row>
    <row r="81" spans="3:3" x14ac:dyDescent="0.15">
      <c r="C81" t="str">
        <f>TRIM(MID(SUBSTITUTE($B$1,",",REPT(" ",LEN($B$1))),((ROWS($B$1:$B81)-1)*LEN($B$1))+1,LEN($B$1)))</f>
        <v/>
      </c>
    </row>
    <row r="82" spans="3:3" x14ac:dyDescent="0.15">
      <c r="C82" t="str">
        <f>TRIM(MID(SUBSTITUTE($B$1,",",REPT(" ",LEN($B$1))),((ROWS($B$1:$B82)-1)*LEN($B$1))+1,LEN($B$1)))</f>
        <v/>
      </c>
    </row>
    <row r="83" spans="3:3" x14ac:dyDescent="0.15">
      <c r="C83" t="str">
        <f>TRIM(MID(SUBSTITUTE($B$1,",",REPT(" ",LEN($B$1))),((ROWS($B$1:$B83)-1)*LEN($B$1))+1,LEN($B$1)))</f>
        <v/>
      </c>
    </row>
    <row r="84" spans="3:3" x14ac:dyDescent="0.15">
      <c r="C84" t="str">
        <f>TRIM(MID(SUBSTITUTE($B$1,",",REPT(" ",LEN($B$1))),((ROWS($B$1:$B84)-1)*LEN($B$1))+1,LEN($B$1)))</f>
        <v/>
      </c>
    </row>
    <row r="85" spans="3:3" x14ac:dyDescent="0.15">
      <c r="C85" t="str">
        <f>TRIM(MID(SUBSTITUTE($B$1,",",REPT(" ",LEN($B$1))),((ROWS($B$1:$B85)-1)*LEN($B$1))+1,LEN($B$1)))</f>
        <v/>
      </c>
    </row>
    <row r="86" spans="3:3" x14ac:dyDescent="0.15">
      <c r="C86" t="str">
        <f>TRIM(MID(SUBSTITUTE($B$1,",",REPT(" ",LEN($B$1))),((ROWS($B$1:$B86)-1)*LEN($B$1))+1,LEN($B$1)))</f>
        <v/>
      </c>
    </row>
    <row r="87" spans="3:3" x14ac:dyDescent="0.15">
      <c r="C87" t="str">
        <f>TRIM(MID(SUBSTITUTE($B$1,",",REPT(" ",LEN($B$1))),((ROWS($B$1:$B87)-1)*LEN($B$1))+1,LEN($B$1)))</f>
        <v/>
      </c>
    </row>
    <row r="88" spans="3:3" x14ac:dyDescent="0.15">
      <c r="C88" t="str">
        <f>TRIM(MID(SUBSTITUTE($B$1,",",REPT(" ",LEN($B$1))),((ROWS($B$1:$B88)-1)*LEN($B$1))+1,LEN($B$1)))</f>
        <v/>
      </c>
    </row>
    <row r="89" spans="3:3" x14ac:dyDescent="0.15">
      <c r="C89" t="str">
        <f>TRIM(MID(SUBSTITUTE($B$1,",",REPT(" ",LEN($B$1))),((ROWS($B$1:$B89)-1)*LEN($B$1))+1,LEN($B$1)))</f>
        <v/>
      </c>
    </row>
    <row r="90" spans="3:3" x14ac:dyDescent="0.15">
      <c r="C90" t="str">
        <f>TRIM(MID(SUBSTITUTE($B$1,",",REPT(" ",LEN($B$1))),((ROWS($B$1:$B90)-1)*LEN($B$1))+1,LEN($B$1)))</f>
        <v/>
      </c>
    </row>
    <row r="91" spans="3:3" x14ac:dyDescent="0.15">
      <c r="C91" t="str">
        <f>TRIM(MID(SUBSTITUTE($B$1,",",REPT(" ",LEN($B$1))),((ROWS($B$1:$B91)-1)*LEN($B$1))+1,LEN($B$1)))</f>
        <v/>
      </c>
    </row>
    <row r="92" spans="3:3" x14ac:dyDescent="0.15">
      <c r="C92" t="str">
        <f>TRIM(MID(SUBSTITUTE($B$1,",",REPT(" ",LEN($B$1))),((ROWS($B$1:$B92)-1)*LEN($B$1))+1,LEN($B$1)))</f>
        <v/>
      </c>
    </row>
    <row r="93" spans="3:3" x14ac:dyDescent="0.15">
      <c r="C93" t="str">
        <f>TRIM(MID(SUBSTITUTE($B$1,",",REPT(" ",LEN($B$1))),((ROWS($B$1:$B93)-1)*LEN($B$1))+1,LEN($B$1)))</f>
        <v/>
      </c>
    </row>
    <row r="94" spans="3:3" x14ac:dyDescent="0.15">
      <c r="C94" t="str">
        <f>TRIM(MID(SUBSTITUTE($B$1,",",REPT(" ",LEN($B$1))),((ROWS($B$1:$B94)-1)*LEN($B$1))+1,LEN($B$1)))</f>
        <v/>
      </c>
    </row>
    <row r="95" spans="3:3" x14ac:dyDescent="0.15">
      <c r="C95" t="str">
        <f>TRIM(MID(SUBSTITUTE($B$1,",",REPT(" ",LEN($B$1))),((ROWS($B$1:$B95)-1)*LEN($B$1))+1,LEN($B$1)))</f>
        <v/>
      </c>
    </row>
    <row r="96" spans="3:3" x14ac:dyDescent="0.15">
      <c r="C96" t="str">
        <f>TRIM(MID(SUBSTITUTE($B$1,",",REPT(" ",LEN($B$1))),((ROWS($B$1:$B96)-1)*LEN($B$1))+1,LEN($B$1)))</f>
        <v/>
      </c>
    </row>
    <row r="97" spans="3:3" x14ac:dyDescent="0.15">
      <c r="C97" t="str">
        <f>TRIM(MID(SUBSTITUTE($B$1,",",REPT(" ",LEN($B$1))),((ROWS($B$1:$B97)-1)*LEN($B$1))+1,LEN($B$1)))</f>
        <v/>
      </c>
    </row>
    <row r="98" spans="3:3" x14ac:dyDescent="0.15">
      <c r="C98" t="str">
        <f>TRIM(MID(SUBSTITUTE($B$1,",",REPT(" ",LEN($B$1))),((ROWS($B$1:$B98)-1)*LEN($B$1))+1,LEN($B$1)))</f>
        <v/>
      </c>
    </row>
    <row r="99" spans="3:3" x14ac:dyDescent="0.15">
      <c r="C99" t="str">
        <f>TRIM(MID(SUBSTITUTE($B$1,",",REPT(" ",LEN($B$1))),((ROWS($B$1:$B99)-1)*LEN($B$1))+1,LEN($B$1)))</f>
        <v/>
      </c>
    </row>
    <row r="100" spans="3:3" x14ac:dyDescent="0.15">
      <c r="C100" t="str">
        <f>TRIM(MID(SUBSTITUTE($B$1,",",REPT(" ",LEN($B$1))),((ROWS($B$1:$B100)-1)*LEN($B$1))+1,LEN($B$1)))</f>
        <v/>
      </c>
    </row>
    <row r="101" spans="3:3" x14ac:dyDescent="0.15">
      <c r="C101" t="str">
        <f>TRIM(MID(SUBSTITUTE($B$1,",",REPT(" ",LEN($B$1))),((ROWS($B$1:$B101)-1)*LEN($B$1))+1,LEN($B$1)))</f>
        <v/>
      </c>
    </row>
    <row r="102" spans="3:3" x14ac:dyDescent="0.15">
      <c r="C102" t="str">
        <f>TRIM(MID(SUBSTITUTE($B$1,",",REPT(" ",LEN($B$1))),((ROWS($B$1:$B102)-1)*LEN($B$1))+1,LEN($B$1)))</f>
        <v/>
      </c>
    </row>
    <row r="103" spans="3:3" x14ac:dyDescent="0.15">
      <c r="C103" t="str">
        <f>TRIM(MID(SUBSTITUTE($B$1,",",REPT(" ",LEN($B$1))),((ROWS($B$1:$B103)-1)*LEN($B$1))+1,LEN($B$1)))</f>
        <v/>
      </c>
    </row>
    <row r="104" spans="3:3" x14ac:dyDescent="0.15">
      <c r="C104" t="str">
        <f>TRIM(MID(SUBSTITUTE($B$1,",",REPT(" ",LEN($B$1))),((ROWS($B$1:$B104)-1)*LEN($B$1))+1,LEN($B$1)))</f>
        <v/>
      </c>
    </row>
    <row r="105" spans="3:3" x14ac:dyDescent="0.15">
      <c r="C105" t="str">
        <f>TRIM(MID(SUBSTITUTE($B$1,",",REPT(" ",LEN($B$1))),((ROWS($B$1:$B105)-1)*LEN($B$1))+1,LEN($B$1)))</f>
        <v/>
      </c>
    </row>
    <row r="106" spans="3:3" x14ac:dyDescent="0.15">
      <c r="C106" t="str">
        <f>TRIM(MID(SUBSTITUTE($B$1,",",REPT(" ",LEN($B$1))),((ROWS($B$1:$B106)-1)*LEN($B$1))+1,LEN($B$1)))</f>
        <v/>
      </c>
    </row>
    <row r="107" spans="3:3" x14ac:dyDescent="0.15">
      <c r="C107" t="str">
        <f>TRIM(MID(SUBSTITUTE($B$1,",",REPT(" ",LEN($B$1))),((ROWS($B$1:$B107)-1)*LEN($B$1))+1,LEN($B$1)))</f>
        <v/>
      </c>
    </row>
    <row r="108" spans="3:3" x14ac:dyDescent="0.15">
      <c r="C108" t="str">
        <f>TRIM(MID(SUBSTITUTE($B$1,",",REPT(" ",LEN($B$1))),((ROWS($B$1:$B108)-1)*LEN($B$1))+1,LEN($B$1)))</f>
        <v/>
      </c>
    </row>
    <row r="109" spans="3:3" x14ac:dyDescent="0.15">
      <c r="C109" t="str">
        <f>TRIM(MID(SUBSTITUTE($B$1,",",REPT(" ",LEN($B$1))),((ROWS($B$1:$B109)-1)*LEN($B$1))+1,LEN($B$1)))</f>
        <v/>
      </c>
    </row>
    <row r="110" spans="3:3" x14ac:dyDescent="0.15">
      <c r="C110" t="str">
        <f>TRIM(MID(SUBSTITUTE($B$1,",",REPT(" ",LEN($B$1))),((ROWS($B$1:$B110)-1)*LEN($B$1))+1,LEN($B$1)))</f>
        <v/>
      </c>
    </row>
    <row r="111" spans="3:3" x14ac:dyDescent="0.15">
      <c r="C111" t="str">
        <f>TRIM(MID(SUBSTITUTE($B$1,",",REPT(" ",LEN($B$1))),((ROWS($B$1:$B111)-1)*LEN($B$1))+1,LEN($B$1)))</f>
        <v/>
      </c>
    </row>
    <row r="112" spans="3:3" x14ac:dyDescent="0.15">
      <c r="C112" t="str">
        <f>TRIM(MID(SUBSTITUTE($B$1,",",REPT(" ",LEN($B$1))),((ROWS($B$1:$B112)-1)*LEN($B$1))+1,LEN($B$1)))</f>
        <v/>
      </c>
    </row>
    <row r="113" spans="3:3" x14ac:dyDescent="0.15">
      <c r="C113" t="str">
        <f>TRIM(MID(SUBSTITUTE($B$1,",",REPT(" ",LEN($B$1))),((ROWS($B$1:$B113)-1)*LEN($B$1))+1,LEN($B$1)))</f>
        <v/>
      </c>
    </row>
    <row r="114" spans="3:3" x14ac:dyDescent="0.15">
      <c r="C114" t="str">
        <f>TRIM(MID(SUBSTITUTE($B$1,",",REPT(" ",LEN($B$1))),((ROWS($B$1:$B114)-1)*LEN($B$1))+1,LEN($B$1)))</f>
        <v/>
      </c>
    </row>
    <row r="115" spans="3:3" x14ac:dyDescent="0.15">
      <c r="C115" t="str">
        <f>TRIM(MID(SUBSTITUTE($B$1,",",REPT(" ",LEN($B$1))),((ROWS($B$1:$B115)-1)*LEN($B$1))+1,LEN($B$1)))</f>
        <v/>
      </c>
    </row>
    <row r="116" spans="3:3" x14ac:dyDescent="0.15">
      <c r="C116" t="str">
        <f>TRIM(MID(SUBSTITUTE($B$1,",",REPT(" ",LEN($B$1))),((ROWS($B$1:$B116)-1)*LEN($B$1))+1,LEN($B$1)))</f>
        <v/>
      </c>
    </row>
    <row r="117" spans="3:3" x14ac:dyDescent="0.15">
      <c r="C117" t="str">
        <f>TRIM(MID(SUBSTITUTE($B$1,",",REPT(" ",LEN($B$1))),((ROWS($B$1:$B117)-1)*LEN($B$1))+1,LEN($B$1)))</f>
        <v/>
      </c>
    </row>
    <row r="118" spans="3:3" x14ac:dyDescent="0.15">
      <c r="C118" t="str">
        <f>TRIM(MID(SUBSTITUTE($B$1,",",REPT(" ",LEN($B$1))),((ROWS($B$1:$B118)-1)*LEN($B$1))+1,LEN($B$1)))</f>
        <v/>
      </c>
    </row>
    <row r="119" spans="3:3" x14ac:dyDescent="0.15">
      <c r="C119" t="str">
        <f>TRIM(MID(SUBSTITUTE($B$1,",",REPT(" ",LEN($B$1))),((ROWS($B$1:$B119)-1)*LEN($B$1))+1,LEN($B$1)))</f>
        <v/>
      </c>
    </row>
    <row r="120" spans="3:3" x14ac:dyDescent="0.15">
      <c r="C120" t="str">
        <f>TRIM(MID(SUBSTITUTE($B$1,",",REPT(" ",LEN($B$1))),((ROWS($B$1:$B120)-1)*LEN($B$1))+1,LEN($B$1)))</f>
        <v/>
      </c>
    </row>
    <row r="121" spans="3:3" x14ac:dyDescent="0.15">
      <c r="C121" t="str">
        <f>TRIM(MID(SUBSTITUTE($B$1,",",REPT(" ",LEN($B$1))),((ROWS($B$1:$B121)-1)*LEN($B$1))+1,LEN($B$1)))</f>
        <v/>
      </c>
    </row>
    <row r="122" spans="3:3" x14ac:dyDescent="0.15">
      <c r="C122" t="str">
        <f>TRIM(MID(SUBSTITUTE($B$1,",",REPT(" ",LEN($B$1))),((ROWS($B$1:$B122)-1)*LEN($B$1))+1,LEN($B$1)))</f>
        <v/>
      </c>
    </row>
    <row r="123" spans="3:3" x14ac:dyDescent="0.15">
      <c r="C123" t="str">
        <f>TRIM(MID(SUBSTITUTE($B$1,",",REPT(" ",LEN($B$1))),((ROWS($B$1:$B123)-1)*LEN($B$1))+1,LEN($B$1)))</f>
        <v/>
      </c>
    </row>
    <row r="124" spans="3:3" x14ac:dyDescent="0.15">
      <c r="C124" t="str">
        <f>TRIM(MID(SUBSTITUTE($B$1,",",REPT(" ",LEN($B$1))),((ROWS($B$1:$B124)-1)*LEN($B$1))+1,LEN($B$1)))</f>
        <v/>
      </c>
    </row>
    <row r="125" spans="3:3" x14ac:dyDescent="0.15">
      <c r="C125" t="str">
        <f>TRIM(MID(SUBSTITUTE($B$1,",",REPT(" ",LEN($B$1))),((ROWS($B$1:$B125)-1)*LEN($B$1))+1,LEN($B$1)))</f>
        <v/>
      </c>
    </row>
    <row r="126" spans="3:3" x14ac:dyDescent="0.15">
      <c r="C126" t="str">
        <f>TRIM(MID(SUBSTITUTE($B$1,",",REPT(" ",LEN($B$1))),((ROWS($B$1:$B126)-1)*LEN($B$1))+1,LEN($B$1)))</f>
        <v/>
      </c>
    </row>
    <row r="127" spans="3:3" x14ac:dyDescent="0.15">
      <c r="C127" t="str">
        <f>TRIM(MID(SUBSTITUTE($B$1,",",REPT(" ",LEN($B$1))),((ROWS($B$1:$B127)-1)*LEN($B$1))+1,LEN($B$1)))</f>
        <v/>
      </c>
    </row>
    <row r="128" spans="3:3" x14ac:dyDescent="0.15">
      <c r="C128" t="str">
        <f>TRIM(MID(SUBSTITUTE($B$1,",",REPT(" ",LEN($B$1))),((ROWS($B$1:$B128)-1)*LEN($B$1))+1,LEN($B$1)))</f>
        <v/>
      </c>
    </row>
    <row r="129" spans="3:3" x14ac:dyDescent="0.15">
      <c r="C129" t="str">
        <f>TRIM(MID(SUBSTITUTE($B$1,",",REPT(" ",LEN($B$1))),((ROWS($B$1:$B129)-1)*LEN($B$1))+1,LEN($B$1)))</f>
        <v/>
      </c>
    </row>
    <row r="130" spans="3:3" x14ac:dyDescent="0.15">
      <c r="C130" t="str">
        <f>TRIM(MID(SUBSTITUTE($B$1,",",REPT(" ",LEN($B$1))),((ROWS($B$1:$B130)-1)*LEN($B$1))+1,LEN($B$1)))</f>
        <v/>
      </c>
    </row>
    <row r="131" spans="3:3" x14ac:dyDescent="0.15">
      <c r="C131" t="str">
        <f>TRIM(MID(SUBSTITUTE($B$1,",",REPT(" ",LEN($B$1))),((ROWS($B$1:$B131)-1)*LEN($B$1))+1,LEN($B$1)))</f>
        <v/>
      </c>
    </row>
    <row r="132" spans="3:3" x14ac:dyDescent="0.15">
      <c r="C132" t="str">
        <f>TRIM(MID(SUBSTITUTE($B$1,",",REPT(" ",LEN($B$1))),((ROWS($B$1:$B132)-1)*LEN($B$1))+1,LEN($B$1)))</f>
        <v/>
      </c>
    </row>
    <row r="133" spans="3:3" x14ac:dyDescent="0.15">
      <c r="C133" t="str">
        <f>TRIM(MID(SUBSTITUTE($B$1,",",REPT(" ",LEN($B$1))),((ROWS($B$1:$B133)-1)*LEN($B$1))+1,LEN($B$1)))</f>
        <v/>
      </c>
    </row>
    <row r="134" spans="3:3" x14ac:dyDescent="0.15">
      <c r="C134" t="str">
        <f>TRIM(MID(SUBSTITUTE($B$1,",",REPT(" ",LEN($B$1))),((ROWS($B$1:$B134)-1)*LEN($B$1))+1,LEN($B$1)))</f>
        <v/>
      </c>
    </row>
    <row r="135" spans="3:3" x14ac:dyDescent="0.15">
      <c r="C135" t="str">
        <f>TRIM(MID(SUBSTITUTE($B$1,",",REPT(" ",LEN($B$1))),((ROWS($B$1:$B135)-1)*LEN($B$1))+1,LEN($B$1)))</f>
        <v/>
      </c>
    </row>
    <row r="136" spans="3:3" x14ac:dyDescent="0.15">
      <c r="C136" t="str">
        <f>TRIM(MID(SUBSTITUTE($B$1,",",REPT(" ",LEN($B$1))),((ROWS($B$1:$B136)-1)*LEN($B$1))+1,LEN($B$1)))</f>
        <v/>
      </c>
    </row>
    <row r="137" spans="3:3" x14ac:dyDescent="0.15">
      <c r="C137" t="str">
        <f>TRIM(MID(SUBSTITUTE($B$1,",",REPT(" ",LEN($B$1))),((ROWS($B$1:$B137)-1)*LEN($B$1))+1,LEN($B$1)))</f>
        <v/>
      </c>
    </row>
    <row r="138" spans="3:3" x14ac:dyDescent="0.15">
      <c r="C138" t="str">
        <f>TRIM(MID(SUBSTITUTE($B$1,",",REPT(" ",LEN($B$1))),((ROWS($B$1:$B138)-1)*LEN($B$1))+1,LEN($B$1)))</f>
        <v/>
      </c>
    </row>
    <row r="139" spans="3:3" x14ac:dyDescent="0.15">
      <c r="C139" t="str">
        <f>TRIM(MID(SUBSTITUTE($B$1,",",REPT(" ",LEN($B$1))),((ROWS($B$1:$B139)-1)*LEN($B$1))+1,LEN($B$1)))</f>
        <v/>
      </c>
    </row>
    <row r="140" spans="3:3" x14ac:dyDescent="0.15">
      <c r="C140" t="str">
        <f>TRIM(MID(SUBSTITUTE($B$1,",",REPT(" ",LEN($B$1))),((ROWS($B$1:$B140)-1)*LEN($B$1))+1,LEN($B$1)))</f>
        <v/>
      </c>
    </row>
    <row r="141" spans="3:3" x14ac:dyDescent="0.15">
      <c r="C141" t="str">
        <f>TRIM(MID(SUBSTITUTE($B$1,",",REPT(" ",LEN($B$1))),((ROWS($B$1:$B141)-1)*LEN($B$1))+1,LEN($B$1)))</f>
        <v/>
      </c>
    </row>
    <row r="142" spans="3:3" x14ac:dyDescent="0.15">
      <c r="C142" t="str">
        <f>TRIM(MID(SUBSTITUTE($B$1,",",REPT(" ",LEN($B$1))),((ROWS($B$1:$B142)-1)*LEN($B$1))+1,LEN($B$1)))</f>
        <v/>
      </c>
    </row>
    <row r="143" spans="3:3" x14ac:dyDescent="0.15">
      <c r="C143" t="str">
        <f>TRIM(MID(SUBSTITUTE($B$1,",",REPT(" ",LEN($B$1))),((ROWS($B$1:$B143)-1)*LEN($B$1))+1,LEN($B$1)))</f>
        <v/>
      </c>
    </row>
    <row r="144" spans="3:3" x14ac:dyDescent="0.15">
      <c r="C144" t="str">
        <f>TRIM(MID(SUBSTITUTE($B$1,",",REPT(" ",LEN($B$1))),((ROWS($B$1:$B144)-1)*LEN($B$1))+1,LEN($B$1)))</f>
        <v/>
      </c>
    </row>
    <row r="145" spans="3:3" x14ac:dyDescent="0.15">
      <c r="C145" t="str">
        <f>TRIM(MID(SUBSTITUTE($B$1,",",REPT(" ",LEN($B$1))),((ROWS($B$1:$B145)-1)*LEN($B$1))+1,LEN($B$1)))</f>
        <v/>
      </c>
    </row>
    <row r="146" spans="3:3" x14ac:dyDescent="0.15">
      <c r="C146" t="str">
        <f>TRIM(MID(SUBSTITUTE($B$1,",",REPT(" ",LEN($B$1))),((ROWS($B$1:$B146)-1)*LEN($B$1))+1,LEN($B$1)))</f>
        <v/>
      </c>
    </row>
    <row r="147" spans="3:3" x14ac:dyDescent="0.15">
      <c r="C147" t="str">
        <f>TRIM(MID(SUBSTITUTE($B$1,",",REPT(" ",LEN($B$1))),((ROWS($B$1:$B147)-1)*LEN($B$1))+1,LEN($B$1)))</f>
        <v/>
      </c>
    </row>
    <row r="148" spans="3:3" x14ac:dyDescent="0.15">
      <c r="C148" t="str">
        <f>TRIM(MID(SUBSTITUTE($B$1,",",REPT(" ",LEN($B$1))),((ROWS($B$1:$B148)-1)*LEN($B$1))+1,LEN($B$1)))</f>
        <v/>
      </c>
    </row>
    <row r="149" spans="3:3" x14ac:dyDescent="0.15">
      <c r="C149" t="str">
        <f>TRIM(MID(SUBSTITUTE($B$1,",",REPT(" ",LEN($B$1))),((ROWS($B$1:$B149)-1)*LEN($B$1))+1,LEN($B$1)))</f>
        <v/>
      </c>
    </row>
    <row r="150" spans="3:3" x14ac:dyDescent="0.15">
      <c r="C150" t="str">
        <f>TRIM(MID(SUBSTITUTE($B$1,",",REPT(" ",LEN($B$1))),((ROWS($B$1:$B150)-1)*LEN($B$1))+1,LEN($B$1)))</f>
        <v/>
      </c>
    </row>
    <row r="151" spans="3:3" x14ac:dyDescent="0.15">
      <c r="C151" t="str">
        <f>TRIM(MID(SUBSTITUTE($B$1,",",REPT(" ",LEN($B$1))),((ROWS($B$1:$B151)-1)*LEN($B$1))+1,LEN($B$1)))</f>
        <v/>
      </c>
    </row>
    <row r="152" spans="3:3" x14ac:dyDescent="0.15">
      <c r="C152" t="str">
        <f>TRIM(MID(SUBSTITUTE($B$1,",",REPT(" ",LEN($B$1))),((ROWS($B$1:$B152)-1)*LEN($B$1))+1,LEN($B$1)))</f>
        <v/>
      </c>
    </row>
    <row r="153" spans="3:3" x14ac:dyDescent="0.15">
      <c r="C153" t="str">
        <f>TRIM(MID(SUBSTITUTE($B$1,",",REPT(" ",LEN($B$1))),((ROWS($B$1:$B153)-1)*LEN($B$1))+1,LEN($B$1)))</f>
        <v/>
      </c>
    </row>
    <row r="154" spans="3:3" x14ac:dyDescent="0.15">
      <c r="C154" t="str">
        <f>TRIM(MID(SUBSTITUTE($B$1,",",REPT(" ",LEN($B$1))),((ROWS($B$1:$B154)-1)*LEN($B$1))+1,LEN($B$1)))</f>
        <v/>
      </c>
    </row>
    <row r="155" spans="3:3" x14ac:dyDescent="0.15">
      <c r="C155" t="str">
        <f>TRIM(MID(SUBSTITUTE($B$1,",",REPT(" ",LEN($B$1))),((ROWS($B$1:$B155)-1)*LEN($B$1))+1,LEN($B$1)))</f>
        <v/>
      </c>
    </row>
    <row r="156" spans="3:3" x14ac:dyDescent="0.15">
      <c r="C156" t="str">
        <f>TRIM(MID(SUBSTITUTE($B$1,",",REPT(" ",LEN($B$1))),((ROWS($B$1:$B156)-1)*LEN($B$1))+1,LEN($B$1)))</f>
        <v/>
      </c>
    </row>
    <row r="157" spans="3:3" x14ac:dyDescent="0.15">
      <c r="C157" t="str">
        <f>TRIM(MID(SUBSTITUTE($B$1,",",REPT(" ",LEN($B$1))),((ROWS($B$1:$B157)-1)*LEN($B$1))+1,LEN($B$1)))</f>
        <v/>
      </c>
    </row>
    <row r="158" spans="3:3" x14ac:dyDescent="0.15">
      <c r="C158" t="str">
        <f>TRIM(MID(SUBSTITUTE($B$1,",",REPT(" ",LEN($B$1))),((ROWS($B$1:$B158)-1)*LEN($B$1))+1,LEN($B$1)))</f>
        <v/>
      </c>
    </row>
    <row r="159" spans="3:3" x14ac:dyDescent="0.15">
      <c r="C159" t="str">
        <f>TRIM(MID(SUBSTITUTE($B$1,",",REPT(" ",LEN($B$1))),((ROWS($B$1:$B159)-1)*LEN($B$1))+1,LEN($B$1)))</f>
        <v/>
      </c>
    </row>
    <row r="160" spans="3:3" x14ac:dyDescent="0.15">
      <c r="C160" t="str">
        <f>TRIM(MID(SUBSTITUTE($B$1,",",REPT(" ",LEN($B$1))),((ROWS($B$1:$B160)-1)*LEN($B$1))+1,LEN($B$1)))</f>
        <v/>
      </c>
    </row>
    <row r="161" spans="3:3" x14ac:dyDescent="0.15">
      <c r="C161" t="str">
        <f>TRIM(MID(SUBSTITUTE($B$1,",",REPT(" ",LEN($B$1))),((ROWS($B$1:$B161)-1)*LEN($B$1))+1,LEN($B$1)))</f>
        <v/>
      </c>
    </row>
    <row r="162" spans="3:3" x14ac:dyDescent="0.15">
      <c r="C162" t="str">
        <f>TRIM(MID(SUBSTITUTE($B$1,",",REPT(" ",LEN($B$1))),((ROWS($B$1:$B162)-1)*LEN($B$1))+1,LEN($B$1)))</f>
        <v/>
      </c>
    </row>
    <row r="163" spans="3:3" x14ac:dyDescent="0.15">
      <c r="C163" t="str">
        <f>TRIM(MID(SUBSTITUTE($B$1,",",REPT(" ",LEN($B$1))),((ROWS($B$1:$B163)-1)*LEN($B$1))+1,LEN($B$1)))</f>
        <v/>
      </c>
    </row>
    <row r="164" spans="3:3" x14ac:dyDescent="0.15">
      <c r="C164" t="str">
        <f>TRIM(MID(SUBSTITUTE($B$1,",",REPT(" ",LEN($B$1))),((ROWS($B$1:$B164)-1)*LEN($B$1))+1,LEN($B$1)))</f>
        <v/>
      </c>
    </row>
    <row r="165" spans="3:3" x14ac:dyDescent="0.15">
      <c r="C165" t="str">
        <f>TRIM(MID(SUBSTITUTE($B$1,",",REPT(" ",LEN($B$1))),((ROWS($B$1:$B165)-1)*LEN($B$1))+1,LEN($B$1)))</f>
        <v/>
      </c>
    </row>
    <row r="166" spans="3:3" x14ac:dyDescent="0.15">
      <c r="C166" t="str">
        <f>TRIM(MID(SUBSTITUTE($B$1,",",REPT(" ",LEN($B$1))),((ROWS($B$1:$B166)-1)*LEN($B$1))+1,LEN($B$1)))</f>
        <v/>
      </c>
    </row>
    <row r="167" spans="3:3" x14ac:dyDescent="0.15">
      <c r="C167" t="str">
        <f>TRIM(MID(SUBSTITUTE($B$1,",",REPT(" ",LEN($B$1))),((ROWS($B$1:$B167)-1)*LEN($B$1))+1,LEN($B$1)))</f>
        <v/>
      </c>
    </row>
    <row r="168" spans="3:3" x14ac:dyDescent="0.15">
      <c r="C168" t="str">
        <f>TRIM(MID(SUBSTITUTE($B$1,",",REPT(" ",LEN($B$1))),((ROWS($B$1:$B168)-1)*LEN($B$1))+1,LEN($B$1)))</f>
        <v/>
      </c>
    </row>
    <row r="169" spans="3:3" x14ac:dyDescent="0.15">
      <c r="C169" t="str">
        <f>TRIM(MID(SUBSTITUTE($B$1,",",REPT(" ",LEN($B$1))),((ROWS($B$1:$B169)-1)*LEN($B$1))+1,LEN($B$1)))</f>
        <v/>
      </c>
    </row>
    <row r="170" spans="3:3" x14ac:dyDescent="0.15">
      <c r="C170" t="str">
        <f>TRIM(MID(SUBSTITUTE($B$1,",",REPT(" ",LEN($B$1))),((ROWS($B$1:$B170)-1)*LEN($B$1))+1,LEN($B$1)))</f>
        <v/>
      </c>
    </row>
    <row r="171" spans="3:3" x14ac:dyDescent="0.15">
      <c r="C171" t="str">
        <f>TRIM(MID(SUBSTITUTE($B$1,",",REPT(" ",LEN($B$1))),((ROWS($B$1:$B171)-1)*LEN($B$1))+1,LEN($B$1)))</f>
        <v/>
      </c>
    </row>
    <row r="172" spans="3:3" x14ac:dyDescent="0.15">
      <c r="C172" t="str">
        <f>TRIM(MID(SUBSTITUTE($B$1,",",REPT(" ",LEN($B$1))),((ROWS($B$1:$B172)-1)*LEN($B$1))+1,LEN($B$1)))</f>
        <v/>
      </c>
    </row>
    <row r="173" spans="3:3" x14ac:dyDescent="0.15">
      <c r="C173" t="str">
        <f>TRIM(MID(SUBSTITUTE($B$1,",",REPT(" ",LEN($B$1))),((ROWS($B$1:$B173)-1)*LEN($B$1))+1,LEN($B$1)))</f>
        <v/>
      </c>
    </row>
    <row r="174" spans="3:3" x14ac:dyDescent="0.15">
      <c r="C174" t="str">
        <f>TRIM(MID(SUBSTITUTE($B$1,",",REPT(" ",LEN($B$1))),((ROWS($B$1:$B174)-1)*LEN($B$1))+1,LEN($B$1)))</f>
        <v/>
      </c>
    </row>
    <row r="175" spans="3:3" x14ac:dyDescent="0.15">
      <c r="C175" t="str">
        <f>TRIM(MID(SUBSTITUTE($B$1,",",REPT(" ",LEN($B$1))),((ROWS($B$1:$B175)-1)*LEN($B$1))+1,LEN($B$1)))</f>
        <v/>
      </c>
    </row>
    <row r="176" spans="3:3" x14ac:dyDescent="0.15">
      <c r="C176" t="str">
        <f>TRIM(MID(SUBSTITUTE($B$1,",",REPT(" ",LEN($B$1))),((ROWS($B$1:$B176)-1)*LEN($B$1))+1,LEN($B$1)))</f>
        <v/>
      </c>
    </row>
    <row r="177" spans="3:3" x14ac:dyDescent="0.15">
      <c r="C177" t="str">
        <f>TRIM(MID(SUBSTITUTE($B$1,",",REPT(" ",LEN($B$1))),((ROWS($B$1:$B177)-1)*LEN($B$1))+1,LEN($B$1)))</f>
        <v/>
      </c>
    </row>
    <row r="178" spans="3:3" x14ac:dyDescent="0.15">
      <c r="C178" t="str">
        <f>TRIM(MID(SUBSTITUTE($B$1,",",REPT(" ",LEN($B$1))),((ROWS($B$1:$B178)-1)*LEN($B$1))+1,LEN($B$1)))</f>
        <v/>
      </c>
    </row>
    <row r="179" spans="3:3" x14ac:dyDescent="0.15">
      <c r="C179" t="str">
        <f>TRIM(MID(SUBSTITUTE($B$1,",",REPT(" ",LEN($B$1))),((ROWS($B$1:$B179)-1)*LEN($B$1))+1,LEN($B$1)))</f>
        <v/>
      </c>
    </row>
    <row r="180" spans="3:3" x14ac:dyDescent="0.15">
      <c r="C180" t="str">
        <f>TRIM(MID(SUBSTITUTE($B$1,",",REPT(" ",LEN($B$1))),((ROWS($B$1:$B180)-1)*LEN($B$1))+1,LEN($B$1)))</f>
        <v/>
      </c>
    </row>
    <row r="181" spans="3:3" x14ac:dyDescent="0.15">
      <c r="C181" t="str">
        <f>TRIM(MID(SUBSTITUTE($B$1,",",REPT(" ",LEN($B$1))),((ROWS($B$1:$B181)-1)*LEN($B$1))+1,LEN($B$1)))</f>
        <v/>
      </c>
    </row>
    <row r="182" spans="3:3" x14ac:dyDescent="0.15">
      <c r="C182" t="str">
        <f>TRIM(MID(SUBSTITUTE($B$1,",",REPT(" ",LEN($B$1))),((ROWS($B$1:$B182)-1)*LEN($B$1))+1,LEN($B$1)))</f>
        <v/>
      </c>
    </row>
    <row r="183" spans="3:3" x14ac:dyDescent="0.15">
      <c r="C183" t="str">
        <f>TRIM(MID(SUBSTITUTE($B$1,",",REPT(" ",LEN($B$1))),((ROWS($B$1:$B183)-1)*LEN($B$1))+1,LEN($B$1)))</f>
        <v/>
      </c>
    </row>
    <row r="184" spans="3:3" x14ac:dyDescent="0.15">
      <c r="C184" t="str">
        <f>TRIM(MID(SUBSTITUTE($B$1,",",REPT(" ",LEN($B$1))),((ROWS($B$1:$B184)-1)*LEN($B$1))+1,LEN($B$1)))</f>
        <v/>
      </c>
    </row>
    <row r="185" spans="3:3" x14ac:dyDescent="0.15">
      <c r="C185" t="str">
        <f>TRIM(MID(SUBSTITUTE($B$1,",",REPT(" ",LEN($B$1))),((ROWS($B$1:$B185)-1)*LEN($B$1))+1,LEN($B$1)))</f>
        <v/>
      </c>
    </row>
    <row r="186" spans="3:3" x14ac:dyDescent="0.15">
      <c r="C186" t="str">
        <f>TRIM(MID(SUBSTITUTE($B$1,",",REPT(" ",LEN($B$1))),((ROWS($B$1:$B186)-1)*LEN($B$1))+1,LEN($B$1)))</f>
        <v/>
      </c>
    </row>
    <row r="187" spans="3:3" x14ac:dyDescent="0.15">
      <c r="C187" t="str">
        <f>TRIM(MID(SUBSTITUTE($B$1,",",REPT(" ",LEN($B$1))),((ROWS($B$1:$B187)-1)*LEN($B$1))+1,LEN($B$1)))</f>
        <v/>
      </c>
    </row>
    <row r="188" spans="3:3" x14ac:dyDescent="0.15">
      <c r="C188" t="str">
        <f>TRIM(MID(SUBSTITUTE($B$1,",",REPT(" ",LEN($B$1))),((ROWS($B$1:$B188)-1)*LEN($B$1))+1,LEN($B$1)))</f>
        <v/>
      </c>
    </row>
    <row r="189" spans="3:3" x14ac:dyDescent="0.15">
      <c r="C189" t="str">
        <f>TRIM(MID(SUBSTITUTE($B$1,",",REPT(" ",LEN($B$1))),((ROWS($B$1:$B189)-1)*LEN($B$1))+1,LEN($B$1)))</f>
        <v/>
      </c>
    </row>
    <row r="190" spans="3:3" x14ac:dyDescent="0.15">
      <c r="C190" t="str">
        <f>TRIM(MID(SUBSTITUTE($B$1,",",REPT(" ",LEN($B$1))),((ROWS($B$1:$B190)-1)*LEN($B$1))+1,LEN($B$1)))</f>
        <v/>
      </c>
    </row>
    <row r="191" spans="3:3" x14ac:dyDescent="0.15">
      <c r="C191" t="str">
        <f>TRIM(MID(SUBSTITUTE($B$1,",",REPT(" ",LEN($B$1))),((ROWS($B$1:$B191)-1)*LEN($B$1))+1,LEN($B$1)))</f>
        <v/>
      </c>
    </row>
    <row r="192" spans="3:3" x14ac:dyDescent="0.15">
      <c r="C192" t="str">
        <f>TRIM(MID(SUBSTITUTE($B$1,",",REPT(" ",LEN($B$1))),((ROWS($B$1:$B192)-1)*LEN($B$1))+1,LEN($B$1)))</f>
        <v/>
      </c>
    </row>
    <row r="193" spans="3:3" x14ac:dyDescent="0.15">
      <c r="C193" t="str">
        <f>TRIM(MID(SUBSTITUTE($B$1,",",REPT(" ",LEN($B$1))),((ROWS($B$1:$B193)-1)*LEN($B$1))+1,LEN($B$1)))</f>
        <v/>
      </c>
    </row>
    <row r="194" spans="3:3" x14ac:dyDescent="0.15">
      <c r="C194" t="str">
        <f>TRIM(MID(SUBSTITUTE($B$1,",",REPT(" ",LEN($B$1))),((ROWS($B$1:$B194)-1)*LEN($B$1))+1,LEN($B$1)))</f>
        <v/>
      </c>
    </row>
    <row r="195" spans="3:3" x14ac:dyDescent="0.15">
      <c r="C195" t="str">
        <f>TRIM(MID(SUBSTITUTE($B$1,",",REPT(" ",LEN($B$1))),((ROWS($B$1:$B195)-1)*LEN($B$1))+1,LEN($B$1)))</f>
        <v/>
      </c>
    </row>
    <row r="196" spans="3:3" x14ac:dyDescent="0.15">
      <c r="C196" t="str">
        <f>TRIM(MID(SUBSTITUTE($B$1,",",REPT(" ",LEN($B$1))),((ROWS($B$1:$B196)-1)*LEN($B$1))+1,LEN($B$1)))</f>
        <v/>
      </c>
    </row>
    <row r="197" spans="3:3" x14ac:dyDescent="0.15">
      <c r="C197" t="str">
        <f>TRIM(MID(SUBSTITUTE($B$1,",",REPT(" ",LEN($B$1))),((ROWS($B$1:$B197)-1)*LEN($B$1))+1,LEN($B$1)))</f>
        <v/>
      </c>
    </row>
    <row r="198" spans="3:3" x14ac:dyDescent="0.15">
      <c r="C198" t="str">
        <f>TRIM(MID(SUBSTITUTE($B$1,",",REPT(" ",LEN($B$1))),((ROWS($B$1:$B198)-1)*LEN($B$1))+1,LEN($B$1)))</f>
        <v/>
      </c>
    </row>
    <row r="199" spans="3:3" x14ac:dyDescent="0.15">
      <c r="C199" t="str">
        <f>TRIM(MID(SUBSTITUTE($B$1,",",REPT(" ",LEN($B$1))),((ROWS($B$1:$B199)-1)*LEN($B$1))+1,LEN($B$1)))</f>
        <v/>
      </c>
    </row>
    <row r="200" spans="3:3" x14ac:dyDescent="0.15">
      <c r="C200" t="str">
        <f>TRIM(MID(SUBSTITUTE($B$1,",",REPT(" ",LEN($B$1))),((ROWS($B$1:$B200)-1)*LEN($B$1))+1,LEN($B$1)))</f>
        <v/>
      </c>
    </row>
    <row r="201" spans="3:3" x14ac:dyDescent="0.15">
      <c r="C201" t="str">
        <f>TRIM(MID(SUBSTITUTE($B$1,",",REPT(" ",LEN($B$1))),((ROWS($B$1:$B201)-1)*LEN($B$1))+1,LEN($B$1)))</f>
        <v/>
      </c>
    </row>
    <row r="202" spans="3:3" x14ac:dyDescent="0.15">
      <c r="C202" t="str">
        <f>TRIM(MID(SUBSTITUTE($B$1,",",REPT(" ",LEN($B$1))),((ROWS($B$1:$B202)-1)*LEN($B$1))+1,LEN($B$1)))</f>
        <v/>
      </c>
    </row>
    <row r="203" spans="3:3" x14ac:dyDescent="0.15">
      <c r="C203" t="str">
        <f>TRIM(MID(SUBSTITUTE($B$1,",",REPT(" ",LEN($B$1))),((ROWS($B$1:$B203)-1)*LEN($B$1))+1,LEN($B$1)))</f>
        <v/>
      </c>
    </row>
    <row r="204" spans="3:3" x14ac:dyDescent="0.15">
      <c r="C204" t="str">
        <f>TRIM(MID(SUBSTITUTE($B$1,",",REPT(" ",LEN($B$1))),((ROWS($B$1:$B204)-1)*LEN($B$1))+1,LEN($B$1)))</f>
        <v/>
      </c>
    </row>
    <row r="205" spans="3:3" x14ac:dyDescent="0.15">
      <c r="C205" t="str">
        <f>TRIM(MID(SUBSTITUTE($B$1,",",REPT(" ",LEN($B$1))),((ROWS($B$1:$B205)-1)*LEN($B$1))+1,LEN($B$1)))</f>
        <v/>
      </c>
    </row>
    <row r="206" spans="3:3" x14ac:dyDescent="0.15">
      <c r="C206" t="str">
        <f>TRIM(MID(SUBSTITUTE($B$1,",",REPT(" ",LEN($B$1))),((ROWS($B$1:$B206)-1)*LEN($B$1))+1,LEN($B$1)))</f>
        <v/>
      </c>
    </row>
    <row r="207" spans="3:3" x14ac:dyDescent="0.15">
      <c r="C207" t="str">
        <f>TRIM(MID(SUBSTITUTE($B$1,",",REPT(" ",LEN($B$1))),((ROWS($B$1:$B207)-1)*LEN($B$1))+1,LEN($B$1)))</f>
        <v/>
      </c>
    </row>
    <row r="208" spans="3:3" x14ac:dyDescent="0.15">
      <c r="C208" t="str">
        <f>TRIM(MID(SUBSTITUTE($B$1,",",REPT(" ",LEN($B$1))),((ROWS($B$1:$B208)-1)*LEN($B$1))+1,LEN($B$1)))</f>
        <v/>
      </c>
    </row>
    <row r="209" spans="3:3" x14ac:dyDescent="0.15">
      <c r="C209" t="str">
        <f>TRIM(MID(SUBSTITUTE($B$1,",",REPT(" ",LEN($B$1))),((ROWS($B$1:$B209)-1)*LEN($B$1))+1,LEN($B$1)))</f>
        <v/>
      </c>
    </row>
    <row r="210" spans="3:3" x14ac:dyDescent="0.15">
      <c r="C210" t="str">
        <f>TRIM(MID(SUBSTITUTE($B$1,",",REPT(" ",LEN($B$1))),((ROWS($B$1:$B210)-1)*LEN($B$1))+1,LEN($B$1)))</f>
        <v/>
      </c>
    </row>
    <row r="211" spans="3:3" x14ac:dyDescent="0.15">
      <c r="C211" t="str">
        <f>TRIM(MID(SUBSTITUTE($B$1,",",REPT(" ",LEN($B$1))),((ROWS($B$1:$B211)-1)*LEN($B$1))+1,LEN($B$1)))</f>
        <v/>
      </c>
    </row>
    <row r="212" spans="3:3" x14ac:dyDescent="0.15">
      <c r="C212" t="str">
        <f>TRIM(MID(SUBSTITUTE($B$1,",",REPT(" ",LEN($B$1))),((ROWS($B$1:$B212)-1)*LEN($B$1))+1,LEN($B$1)))</f>
        <v/>
      </c>
    </row>
    <row r="213" spans="3:3" x14ac:dyDescent="0.15">
      <c r="C213" t="str">
        <f>TRIM(MID(SUBSTITUTE($B$1,",",REPT(" ",LEN($B$1))),((ROWS($B$1:$B213)-1)*LEN($B$1))+1,LEN($B$1)))</f>
        <v/>
      </c>
    </row>
    <row r="214" spans="3:3" x14ac:dyDescent="0.15">
      <c r="C214" t="str">
        <f>TRIM(MID(SUBSTITUTE($B$1,",",REPT(" ",LEN($B$1))),((ROWS($B$1:$B214)-1)*LEN($B$1))+1,LEN($B$1)))</f>
        <v/>
      </c>
    </row>
    <row r="215" spans="3:3" x14ac:dyDescent="0.15">
      <c r="C215" t="str">
        <f>TRIM(MID(SUBSTITUTE($B$1,",",REPT(" ",LEN($B$1))),((ROWS($B$1:$B215)-1)*LEN($B$1))+1,LEN($B$1)))</f>
        <v/>
      </c>
    </row>
    <row r="216" spans="3:3" x14ac:dyDescent="0.15">
      <c r="C216" t="str">
        <f>TRIM(MID(SUBSTITUTE($B$1,",",REPT(" ",LEN($B$1))),((ROWS($B$1:$B216)-1)*LEN($B$1))+1,LEN($B$1)))</f>
        <v/>
      </c>
    </row>
    <row r="217" spans="3:3" x14ac:dyDescent="0.15">
      <c r="C217" t="str">
        <f>TRIM(MID(SUBSTITUTE($B$1,",",REPT(" ",LEN($B$1))),((ROWS($B$1:$B217)-1)*LEN($B$1))+1,LEN($B$1)))</f>
        <v/>
      </c>
    </row>
    <row r="218" spans="3:3" x14ac:dyDescent="0.15">
      <c r="C218" t="str">
        <f>TRIM(MID(SUBSTITUTE($B$1,",",REPT(" ",LEN($B$1))),((ROWS($B$1:$B218)-1)*LEN($B$1))+1,LEN($B$1)))</f>
        <v/>
      </c>
    </row>
    <row r="219" spans="3:3" x14ac:dyDescent="0.15">
      <c r="C219" t="str">
        <f>TRIM(MID(SUBSTITUTE($B$1,",",REPT(" ",LEN($B$1))),((ROWS($B$1:$B219)-1)*LEN($B$1))+1,LEN($B$1)))</f>
        <v/>
      </c>
    </row>
    <row r="220" spans="3:3" x14ac:dyDescent="0.15">
      <c r="C220" t="str">
        <f>TRIM(MID(SUBSTITUTE($B$1,",",REPT(" ",LEN($B$1))),((ROWS($B$1:$B220)-1)*LEN($B$1))+1,LEN($B$1)))</f>
        <v/>
      </c>
    </row>
    <row r="221" spans="3:3" x14ac:dyDescent="0.15">
      <c r="C221" t="str">
        <f>TRIM(MID(SUBSTITUTE($B$1,",",REPT(" ",LEN($B$1))),((ROWS($B$1:$B221)-1)*LEN($B$1))+1,LEN($B$1)))</f>
        <v/>
      </c>
    </row>
    <row r="222" spans="3:3" x14ac:dyDescent="0.15">
      <c r="C222" t="str">
        <f>TRIM(MID(SUBSTITUTE($B$1,",",REPT(" ",LEN($B$1))),((ROWS($B$1:$B222)-1)*LEN($B$1))+1,LEN($B$1)))</f>
        <v/>
      </c>
    </row>
    <row r="223" spans="3:3" x14ac:dyDescent="0.15">
      <c r="C223" t="str">
        <f>TRIM(MID(SUBSTITUTE($B$1,",",REPT(" ",LEN($B$1))),((ROWS($B$1:$B223)-1)*LEN($B$1))+1,LEN($B$1)))</f>
        <v/>
      </c>
    </row>
    <row r="224" spans="3:3" x14ac:dyDescent="0.15">
      <c r="C224" t="str">
        <f>TRIM(MID(SUBSTITUTE($B$1,",",REPT(" ",LEN($B$1))),((ROWS($B$1:$B224)-1)*LEN($B$1))+1,LEN($B$1)))</f>
        <v/>
      </c>
    </row>
    <row r="225" spans="3:3" x14ac:dyDescent="0.15">
      <c r="C225" t="str">
        <f>TRIM(MID(SUBSTITUTE($B$1,",",REPT(" ",LEN($B$1))),((ROWS($B$1:$B225)-1)*LEN($B$1))+1,LEN($B$1)))</f>
        <v/>
      </c>
    </row>
    <row r="226" spans="3:3" x14ac:dyDescent="0.15">
      <c r="C226" t="str">
        <f>TRIM(MID(SUBSTITUTE($B$1,",",REPT(" ",LEN($B$1))),((ROWS($B$1:$B226)-1)*LEN($B$1))+1,LEN($B$1)))</f>
        <v/>
      </c>
    </row>
    <row r="227" spans="3:3" x14ac:dyDescent="0.15">
      <c r="C227" t="str">
        <f>TRIM(MID(SUBSTITUTE($B$1,",",REPT(" ",LEN($B$1))),((ROWS($B$1:$B227)-1)*LEN($B$1))+1,LEN($B$1)))</f>
        <v/>
      </c>
    </row>
    <row r="228" spans="3:3" x14ac:dyDescent="0.15">
      <c r="C228" t="str">
        <f>TRIM(MID(SUBSTITUTE($B$1,",",REPT(" ",LEN($B$1))),((ROWS($B$1:$B228)-1)*LEN($B$1))+1,LEN($B$1)))</f>
        <v/>
      </c>
    </row>
    <row r="229" spans="3:3" x14ac:dyDescent="0.15">
      <c r="C229" t="str">
        <f>TRIM(MID(SUBSTITUTE($B$1,",",REPT(" ",LEN($B$1))),((ROWS($B$1:$B229)-1)*LEN($B$1))+1,LEN($B$1)))</f>
        <v/>
      </c>
    </row>
    <row r="230" spans="3:3" x14ac:dyDescent="0.15">
      <c r="C230" t="str">
        <f>TRIM(MID(SUBSTITUTE($B$1,",",REPT(" ",LEN($B$1))),((ROWS($B$1:$B230)-1)*LEN($B$1))+1,LEN($B$1)))</f>
        <v/>
      </c>
    </row>
    <row r="231" spans="3:3" x14ac:dyDescent="0.15">
      <c r="C231" t="str">
        <f>TRIM(MID(SUBSTITUTE($B$1,",",REPT(" ",LEN($B$1))),((ROWS($B$1:$B231)-1)*LEN($B$1))+1,LEN($B$1)))</f>
        <v/>
      </c>
    </row>
    <row r="232" spans="3:3" x14ac:dyDescent="0.15">
      <c r="C232" t="str">
        <f>TRIM(MID(SUBSTITUTE($B$1,",",REPT(" ",LEN($B$1))),((ROWS($B$1:$B232)-1)*LEN($B$1))+1,LEN($B$1)))</f>
        <v/>
      </c>
    </row>
    <row r="233" spans="3:3" x14ac:dyDescent="0.15">
      <c r="C233" t="str">
        <f>TRIM(MID(SUBSTITUTE($B$1,",",REPT(" ",LEN($B$1))),((ROWS($B$1:$B233)-1)*LEN($B$1))+1,LEN($B$1)))</f>
        <v/>
      </c>
    </row>
    <row r="234" spans="3:3" x14ac:dyDescent="0.15">
      <c r="C234" t="str">
        <f>TRIM(MID(SUBSTITUTE($B$1,",",REPT(" ",LEN($B$1))),((ROWS($B$1:$B234)-1)*LEN($B$1))+1,LEN($B$1)))</f>
        <v/>
      </c>
    </row>
    <row r="235" spans="3:3" x14ac:dyDescent="0.15">
      <c r="C235" t="str">
        <f>TRIM(MID(SUBSTITUTE($B$1,",",REPT(" ",LEN($B$1))),((ROWS($B$1:$B235)-1)*LEN($B$1))+1,LEN($B$1)))</f>
        <v/>
      </c>
    </row>
    <row r="236" spans="3:3" x14ac:dyDescent="0.15">
      <c r="C236" t="str">
        <f>TRIM(MID(SUBSTITUTE($B$1,",",REPT(" ",LEN($B$1))),((ROWS($B$1:$B236)-1)*LEN($B$1))+1,LEN($B$1)))</f>
        <v/>
      </c>
    </row>
    <row r="237" spans="3:3" x14ac:dyDescent="0.15">
      <c r="C237" t="str">
        <f>TRIM(MID(SUBSTITUTE($B$1,",",REPT(" ",LEN($B$1))),((ROWS($B$1:$B237)-1)*LEN($B$1))+1,LEN($B$1)))</f>
        <v/>
      </c>
    </row>
    <row r="238" spans="3:3" x14ac:dyDescent="0.15">
      <c r="C238" t="str">
        <f>TRIM(MID(SUBSTITUTE($B$1,",",REPT(" ",LEN($B$1))),((ROWS($B$1:$B238)-1)*LEN($B$1))+1,LEN($B$1)))</f>
        <v/>
      </c>
    </row>
    <row r="239" spans="3:3" x14ac:dyDescent="0.15">
      <c r="C239" t="str">
        <f>TRIM(MID(SUBSTITUTE($B$1,",",REPT(" ",LEN($B$1))),((ROWS($B$1:$B239)-1)*LEN($B$1))+1,LEN($B$1)))</f>
        <v/>
      </c>
    </row>
    <row r="240" spans="3:3" x14ac:dyDescent="0.15">
      <c r="C240" t="str">
        <f>TRIM(MID(SUBSTITUTE($B$1,",",REPT(" ",LEN($B$1))),((ROWS($B$1:$B240)-1)*LEN($B$1))+1,LEN($B$1)))</f>
        <v/>
      </c>
    </row>
    <row r="241" spans="3:3" x14ac:dyDescent="0.15">
      <c r="C241" t="str">
        <f>TRIM(MID(SUBSTITUTE($B$1,",",REPT(" ",LEN($B$1))),((ROWS($B$1:$B241)-1)*LEN($B$1))+1,LEN($B$1)))</f>
        <v/>
      </c>
    </row>
    <row r="242" spans="3:3" x14ac:dyDescent="0.15">
      <c r="C242" t="str">
        <f>TRIM(MID(SUBSTITUTE($B$1,",",REPT(" ",LEN($B$1))),((ROWS($B$1:$B242)-1)*LEN($B$1))+1,LEN($B$1)))</f>
        <v/>
      </c>
    </row>
    <row r="243" spans="3:3" x14ac:dyDescent="0.15">
      <c r="C243" t="str">
        <f>TRIM(MID(SUBSTITUTE($B$1,",",REPT(" ",LEN($B$1))),((ROWS($B$1:$B243)-1)*LEN($B$1))+1,LEN($B$1)))</f>
        <v/>
      </c>
    </row>
    <row r="244" spans="3:3" x14ac:dyDescent="0.15">
      <c r="C244" t="str">
        <f>TRIM(MID(SUBSTITUTE($B$1,",",REPT(" ",LEN($B$1))),((ROWS($B$1:$B244)-1)*LEN($B$1))+1,LEN($B$1)))</f>
        <v/>
      </c>
    </row>
    <row r="245" spans="3:3" x14ac:dyDescent="0.15">
      <c r="C245" t="str">
        <f>TRIM(MID(SUBSTITUTE($B$1,",",REPT(" ",LEN($B$1))),((ROWS($B$1:$B245)-1)*LEN($B$1))+1,LEN($B$1)))</f>
        <v/>
      </c>
    </row>
    <row r="246" spans="3:3" x14ac:dyDescent="0.15">
      <c r="C246" t="str">
        <f>TRIM(MID(SUBSTITUTE($B$1,",",REPT(" ",LEN($B$1))),((ROWS($B$1:$B246)-1)*LEN($B$1))+1,LEN($B$1)))</f>
        <v/>
      </c>
    </row>
    <row r="247" spans="3:3" x14ac:dyDescent="0.15">
      <c r="C247" t="str">
        <f>TRIM(MID(SUBSTITUTE($B$1,",",REPT(" ",LEN($B$1))),((ROWS($B$1:$B247)-1)*LEN($B$1))+1,LEN($B$1)))</f>
        <v/>
      </c>
    </row>
    <row r="248" spans="3:3" x14ac:dyDescent="0.15">
      <c r="C248" t="str">
        <f>TRIM(MID(SUBSTITUTE($B$1,",",REPT(" ",LEN($B$1))),((ROWS($B$1:$B248)-1)*LEN($B$1))+1,LEN($B$1)))</f>
        <v/>
      </c>
    </row>
    <row r="249" spans="3:3" x14ac:dyDescent="0.15">
      <c r="C249" t="str">
        <f>TRIM(MID(SUBSTITUTE($B$1,",",REPT(" ",LEN($B$1))),((ROWS($B$1:$B249)-1)*LEN($B$1))+1,LEN($B$1)))</f>
        <v/>
      </c>
    </row>
    <row r="250" spans="3:3" x14ac:dyDescent="0.15">
      <c r="C250" t="str">
        <f>TRIM(MID(SUBSTITUTE($B$1,",",REPT(" ",LEN($B$1))),((ROWS($B$1:$B250)-1)*LEN($B$1))+1,LEN($B$1)))</f>
        <v/>
      </c>
    </row>
    <row r="251" spans="3:3" x14ac:dyDescent="0.15">
      <c r="C251" t="str">
        <f>TRIM(MID(SUBSTITUTE($B$1,",",REPT(" ",LEN($B$1))),((ROWS($B$1:$B251)-1)*LEN($B$1))+1,LEN($B$1)))</f>
        <v/>
      </c>
    </row>
    <row r="252" spans="3:3" x14ac:dyDescent="0.15">
      <c r="C252" t="str">
        <f>TRIM(MID(SUBSTITUTE($B$1,",",REPT(" ",LEN($B$1))),((ROWS($B$1:$B252)-1)*LEN($B$1))+1,LEN($B$1)))</f>
        <v/>
      </c>
    </row>
    <row r="253" spans="3:3" x14ac:dyDescent="0.15">
      <c r="C253" t="str">
        <f>TRIM(MID(SUBSTITUTE($B$1,",",REPT(" ",LEN($B$1))),((ROWS($B$1:$B253)-1)*LEN($B$1))+1,LEN($B$1)))</f>
        <v/>
      </c>
    </row>
    <row r="254" spans="3:3" x14ac:dyDescent="0.15">
      <c r="C254" t="str">
        <f>TRIM(MID(SUBSTITUTE($B$1,",",REPT(" ",LEN($B$1))),((ROWS($B$1:$B254)-1)*LEN($B$1))+1,LEN($B$1)))</f>
        <v/>
      </c>
    </row>
    <row r="255" spans="3:3" x14ac:dyDescent="0.15">
      <c r="C255" t="str">
        <f>TRIM(MID(SUBSTITUTE($B$1,",",REPT(" ",LEN($B$1))),((ROWS($B$1:$B255)-1)*LEN($B$1))+1,LEN($B$1)))</f>
        <v/>
      </c>
    </row>
    <row r="256" spans="3:3" x14ac:dyDescent="0.15">
      <c r="C256" t="str">
        <f>TRIM(MID(SUBSTITUTE($B$1,",",REPT(" ",LEN($B$1))),((ROWS($B$1:$B256)-1)*LEN($B$1))+1,LEN($B$1)))</f>
        <v/>
      </c>
    </row>
    <row r="257" spans="3:3" x14ac:dyDescent="0.15">
      <c r="C257" t="str">
        <f>TRIM(MID(SUBSTITUTE($B$1,",",REPT(" ",LEN($B$1))),((ROWS($B$1:$B257)-1)*LEN($B$1))+1,LEN($B$1)))</f>
        <v/>
      </c>
    </row>
    <row r="258" spans="3:3" x14ac:dyDescent="0.15">
      <c r="C258" t="str">
        <f>TRIM(MID(SUBSTITUTE($B$1,",",REPT(" ",LEN($B$1))),((ROWS($B$1:$B258)-1)*LEN($B$1))+1,LEN($B$1)))</f>
        <v/>
      </c>
    </row>
    <row r="259" spans="3:3" x14ac:dyDescent="0.15">
      <c r="C259" t="str">
        <f>TRIM(MID(SUBSTITUTE($B$1,",",REPT(" ",LEN($B$1))),((ROWS($B$1:$B259)-1)*LEN($B$1))+1,LEN($B$1)))</f>
        <v/>
      </c>
    </row>
    <row r="260" spans="3:3" x14ac:dyDescent="0.15">
      <c r="C260" t="str">
        <f>TRIM(MID(SUBSTITUTE($B$1,",",REPT(" ",LEN($B$1))),((ROWS($B$1:$B260)-1)*LEN($B$1))+1,LEN($B$1)))</f>
        <v/>
      </c>
    </row>
    <row r="261" spans="3:3" x14ac:dyDescent="0.15">
      <c r="C261" t="str">
        <f>TRIM(MID(SUBSTITUTE($B$1,",",REPT(" ",LEN($B$1))),((ROWS($B$1:$B261)-1)*LEN($B$1))+1,LEN($B$1)))</f>
        <v/>
      </c>
    </row>
    <row r="262" spans="3:3" x14ac:dyDescent="0.15">
      <c r="C262" t="str">
        <f>TRIM(MID(SUBSTITUTE($B$1,",",REPT(" ",LEN($B$1))),((ROWS($B$1:$B262)-1)*LEN($B$1))+1,LEN($B$1)))</f>
        <v/>
      </c>
    </row>
    <row r="263" spans="3:3" x14ac:dyDescent="0.15">
      <c r="C263" t="str">
        <f>TRIM(MID(SUBSTITUTE($B$1,",",REPT(" ",LEN($B$1))),((ROWS($B$1:$B263)-1)*LEN($B$1))+1,LEN($B$1)))</f>
        <v/>
      </c>
    </row>
    <row r="264" spans="3:3" x14ac:dyDescent="0.15">
      <c r="C264" t="str">
        <f>TRIM(MID(SUBSTITUTE($B$1,",",REPT(" ",LEN($B$1))),((ROWS($B$1:$B264)-1)*LEN($B$1))+1,LEN($B$1)))</f>
        <v/>
      </c>
    </row>
    <row r="265" spans="3:3" x14ac:dyDescent="0.15">
      <c r="C265" t="str">
        <f>TRIM(MID(SUBSTITUTE($B$1,",",REPT(" ",LEN($B$1))),((ROWS($B$1:$B265)-1)*LEN($B$1))+1,LEN($B$1)))</f>
        <v/>
      </c>
    </row>
    <row r="266" spans="3:3" x14ac:dyDescent="0.15">
      <c r="C266" t="str">
        <f>TRIM(MID(SUBSTITUTE($B$1,",",REPT(" ",LEN($B$1))),((ROWS($B$1:$B266)-1)*LEN($B$1))+1,LEN($B$1)))</f>
        <v/>
      </c>
    </row>
    <row r="267" spans="3:3" x14ac:dyDescent="0.15">
      <c r="C267" t="str">
        <f>TRIM(MID(SUBSTITUTE($B$1,",",REPT(" ",LEN($B$1))),((ROWS($B$1:$B267)-1)*LEN($B$1))+1,LEN($B$1)))</f>
        <v/>
      </c>
    </row>
    <row r="268" spans="3:3" x14ac:dyDescent="0.15">
      <c r="C268" t="str">
        <f>TRIM(MID(SUBSTITUTE($B$1,",",REPT(" ",LEN($B$1))),((ROWS($B$1:$B268)-1)*LEN($B$1))+1,LEN($B$1)))</f>
        <v/>
      </c>
    </row>
    <row r="269" spans="3:3" x14ac:dyDescent="0.15">
      <c r="C269" t="str">
        <f>TRIM(MID(SUBSTITUTE($B$1,",",REPT(" ",LEN($B$1))),((ROWS($B$1:$B269)-1)*LEN($B$1))+1,LEN($B$1)))</f>
        <v/>
      </c>
    </row>
    <row r="270" spans="3:3" x14ac:dyDescent="0.15">
      <c r="C270" t="str">
        <f>TRIM(MID(SUBSTITUTE($B$1,",",REPT(" ",LEN($B$1))),((ROWS($B$1:$B270)-1)*LEN($B$1))+1,LEN($B$1)))</f>
        <v/>
      </c>
    </row>
    <row r="271" spans="3:3" x14ac:dyDescent="0.15">
      <c r="C271" t="str">
        <f>TRIM(MID(SUBSTITUTE($B$1,",",REPT(" ",LEN($B$1))),((ROWS($B$1:$B271)-1)*LEN($B$1))+1,LEN($B$1)))</f>
        <v/>
      </c>
    </row>
    <row r="272" spans="3:3" x14ac:dyDescent="0.15">
      <c r="C272" t="str">
        <f>TRIM(MID(SUBSTITUTE($B$1,",",REPT(" ",LEN($B$1))),((ROWS($B$1:$B272)-1)*LEN($B$1))+1,LEN($B$1)))</f>
        <v/>
      </c>
    </row>
    <row r="273" spans="3:3" x14ac:dyDescent="0.15">
      <c r="C273" t="str">
        <f>TRIM(MID(SUBSTITUTE($B$1,",",REPT(" ",LEN($B$1))),((ROWS($B$1:$B273)-1)*LEN($B$1))+1,LEN($B$1)))</f>
        <v/>
      </c>
    </row>
    <row r="274" spans="3:3" x14ac:dyDescent="0.15">
      <c r="C274" t="str">
        <f>TRIM(MID(SUBSTITUTE($B$1,",",REPT(" ",LEN($B$1))),((ROWS($B$1:$B274)-1)*LEN($B$1))+1,LEN($B$1)))</f>
        <v/>
      </c>
    </row>
    <row r="275" spans="3:3" x14ac:dyDescent="0.15">
      <c r="C275" t="str">
        <f>TRIM(MID(SUBSTITUTE($B$1,",",REPT(" ",LEN($B$1))),((ROWS($B$1:$B275)-1)*LEN($B$1))+1,LEN($B$1)))</f>
        <v/>
      </c>
    </row>
    <row r="276" spans="3:3" x14ac:dyDescent="0.15">
      <c r="C276" t="str">
        <f>TRIM(MID(SUBSTITUTE($B$1,",",REPT(" ",LEN($B$1))),((ROWS($B$1:$B276)-1)*LEN($B$1))+1,LEN($B$1)))</f>
        <v/>
      </c>
    </row>
    <row r="277" spans="3:3" x14ac:dyDescent="0.15">
      <c r="C277" t="str">
        <f>TRIM(MID(SUBSTITUTE($B$1,",",REPT(" ",LEN($B$1))),((ROWS($B$1:$B277)-1)*LEN($B$1))+1,LEN($B$1)))</f>
        <v/>
      </c>
    </row>
    <row r="278" spans="3:3" x14ac:dyDescent="0.15">
      <c r="C278" t="str">
        <f>TRIM(MID(SUBSTITUTE($B$1,",",REPT(" ",LEN($B$1))),((ROWS($B$1:$B278)-1)*LEN($B$1))+1,LEN($B$1)))</f>
        <v/>
      </c>
    </row>
    <row r="279" spans="3:3" x14ac:dyDescent="0.15">
      <c r="C279" t="str">
        <f>TRIM(MID(SUBSTITUTE($B$1,",",REPT(" ",LEN($B$1))),((ROWS($B$1:$B279)-1)*LEN($B$1))+1,LEN($B$1)))</f>
        <v/>
      </c>
    </row>
    <row r="280" spans="3:3" x14ac:dyDescent="0.15">
      <c r="C280" t="str">
        <f>TRIM(MID(SUBSTITUTE($B$1,",",REPT(" ",LEN($B$1))),((ROWS($B$1:$B280)-1)*LEN($B$1))+1,LEN($B$1)))</f>
        <v/>
      </c>
    </row>
    <row r="281" spans="3:3" x14ac:dyDescent="0.15">
      <c r="C281" t="str">
        <f>TRIM(MID(SUBSTITUTE($B$1,",",REPT(" ",LEN($B$1))),((ROWS($B$1:$B281)-1)*LEN($B$1))+1,LEN($B$1)))</f>
        <v/>
      </c>
    </row>
    <row r="282" spans="3:3" x14ac:dyDescent="0.15">
      <c r="C282" t="str">
        <f>TRIM(MID(SUBSTITUTE($B$1,",",REPT(" ",LEN($B$1))),((ROWS($B$1:$B282)-1)*LEN($B$1))+1,LEN($B$1)))</f>
        <v/>
      </c>
    </row>
    <row r="283" spans="3:3" x14ac:dyDescent="0.15">
      <c r="C283" t="str">
        <f>TRIM(MID(SUBSTITUTE($B$1,",",REPT(" ",LEN($B$1))),((ROWS($B$1:$B283)-1)*LEN($B$1))+1,LEN($B$1)))</f>
        <v/>
      </c>
    </row>
    <row r="284" spans="3:3" x14ac:dyDescent="0.15">
      <c r="C284" t="str">
        <f>TRIM(MID(SUBSTITUTE($B$1,",",REPT(" ",LEN($B$1))),((ROWS($B$1:$B284)-1)*LEN($B$1))+1,LEN($B$1)))</f>
        <v/>
      </c>
    </row>
    <row r="285" spans="3:3" x14ac:dyDescent="0.15">
      <c r="C285" t="str">
        <f>TRIM(MID(SUBSTITUTE($B$1,",",REPT(" ",LEN($B$1))),((ROWS($B$1:$B285)-1)*LEN($B$1))+1,LEN($B$1)))</f>
        <v/>
      </c>
    </row>
    <row r="286" spans="3:3" x14ac:dyDescent="0.15">
      <c r="C286" t="str">
        <f>TRIM(MID(SUBSTITUTE($B$1,",",REPT(" ",LEN($B$1))),((ROWS($B$1:$B286)-1)*LEN($B$1))+1,LEN($B$1)))</f>
        <v/>
      </c>
    </row>
    <row r="287" spans="3:3" x14ac:dyDescent="0.15">
      <c r="C287" t="str">
        <f>TRIM(MID(SUBSTITUTE($B$1,",",REPT(" ",LEN($B$1))),((ROWS($B$1:$B287)-1)*LEN($B$1))+1,LEN($B$1)))</f>
        <v/>
      </c>
    </row>
    <row r="288" spans="3:3" x14ac:dyDescent="0.15">
      <c r="C288" t="str">
        <f>TRIM(MID(SUBSTITUTE($B$1,",",REPT(" ",LEN($B$1))),((ROWS($B$1:$B288)-1)*LEN($B$1))+1,LEN($B$1)))</f>
        <v/>
      </c>
    </row>
    <row r="289" spans="3:3" x14ac:dyDescent="0.15">
      <c r="C289" t="str">
        <f>TRIM(MID(SUBSTITUTE($B$1,",",REPT(" ",LEN($B$1))),((ROWS($B$1:$B289)-1)*LEN($B$1))+1,LEN($B$1)))</f>
        <v/>
      </c>
    </row>
    <row r="290" spans="3:3" x14ac:dyDescent="0.15">
      <c r="C290" t="str">
        <f>TRIM(MID(SUBSTITUTE($B$1,",",REPT(" ",LEN($B$1))),((ROWS($B$1:$B290)-1)*LEN($B$1))+1,LEN($B$1)))</f>
        <v/>
      </c>
    </row>
    <row r="291" spans="3:3" x14ac:dyDescent="0.15">
      <c r="C291" t="str">
        <f>TRIM(MID(SUBSTITUTE($B$1,",",REPT(" ",LEN($B$1))),((ROWS($B$1:$B291)-1)*LEN($B$1))+1,LEN($B$1)))</f>
        <v/>
      </c>
    </row>
    <row r="292" spans="3:3" x14ac:dyDescent="0.15">
      <c r="C292" t="str">
        <f>TRIM(MID(SUBSTITUTE($B$1,",",REPT(" ",LEN($B$1))),((ROWS($B$1:$B292)-1)*LEN($B$1))+1,LEN($B$1)))</f>
        <v/>
      </c>
    </row>
    <row r="293" spans="3:3" x14ac:dyDescent="0.15">
      <c r="C293" t="str">
        <f>TRIM(MID(SUBSTITUTE($B$1,",",REPT(" ",LEN($B$1))),((ROWS($B$1:$B293)-1)*LEN($B$1))+1,LEN($B$1)))</f>
        <v/>
      </c>
    </row>
    <row r="294" spans="3:3" x14ac:dyDescent="0.15">
      <c r="C294" t="str">
        <f>TRIM(MID(SUBSTITUTE($B$1,",",REPT(" ",LEN($B$1))),((ROWS($B$1:$B294)-1)*LEN($B$1))+1,LEN($B$1)))</f>
        <v/>
      </c>
    </row>
    <row r="295" spans="3:3" x14ac:dyDescent="0.15">
      <c r="C295" t="str">
        <f>TRIM(MID(SUBSTITUTE($B$1,",",REPT(" ",LEN($B$1))),((ROWS($B$1:$B295)-1)*LEN($B$1))+1,LEN($B$1)))</f>
        <v/>
      </c>
    </row>
    <row r="296" spans="3:3" x14ac:dyDescent="0.15">
      <c r="C296" t="str">
        <f>TRIM(MID(SUBSTITUTE($B$1,",",REPT(" ",LEN($B$1))),((ROWS($B$1:$B296)-1)*LEN($B$1))+1,LEN($B$1)))</f>
        <v/>
      </c>
    </row>
    <row r="297" spans="3:3" x14ac:dyDescent="0.15">
      <c r="C297" t="str">
        <f>TRIM(MID(SUBSTITUTE($B$1,",",REPT(" ",LEN($B$1))),((ROWS($B$1:$B297)-1)*LEN($B$1))+1,LEN($B$1)))</f>
        <v/>
      </c>
    </row>
    <row r="298" spans="3:3" x14ac:dyDescent="0.15">
      <c r="C298" t="str">
        <f>TRIM(MID(SUBSTITUTE($B$1,",",REPT(" ",LEN($B$1))),((ROWS($B$1:$B298)-1)*LEN($B$1))+1,LEN($B$1)))</f>
        <v/>
      </c>
    </row>
    <row r="299" spans="3:3" x14ac:dyDescent="0.15">
      <c r="C299" t="str">
        <f>TRIM(MID(SUBSTITUTE($B$1,",",REPT(" ",LEN($B$1))),((ROWS($B$1:$B299)-1)*LEN($B$1))+1,LEN($B$1)))</f>
        <v/>
      </c>
    </row>
    <row r="300" spans="3:3" x14ac:dyDescent="0.15">
      <c r="C300" t="str">
        <f>TRIM(MID(SUBSTITUTE($B$1,",",REPT(" ",LEN($B$1))),((ROWS($B$1:$B300)-1)*LEN($B$1))+1,LEN($B$1)))</f>
        <v/>
      </c>
    </row>
    <row r="301" spans="3:3" x14ac:dyDescent="0.15">
      <c r="C301" t="str">
        <f>TRIM(MID(SUBSTITUTE($B$1,",",REPT(" ",LEN($B$1))),((ROWS($B$1:$B301)-1)*LEN($B$1))+1,LEN($B$1)))</f>
        <v/>
      </c>
    </row>
    <row r="302" spans="3:3" x14ac:dyDescent="0.15">
      <c r="C302" t="str">
        <f>TRIM(MID(SUBSTITUTE($B$1,",",REPT(" ",LEN($B$1))),((ROWS($B$1:$B302)-1)*LEN($B$1))+1,LEN($B$1)))</f>
        <v/>
      </c>
    </row>
    <row r="303" spans="3:3" x14ac:dyDescent="0.15">
      <c r="C303" t="str">
        <f>TRIM(MID(SUBSTITUTE($B$1,",",REPT(" ",LEN($B$1))),((ROWS($B$1:$B303)-1)*LEN($B$1))+1,LEN($B$1)))</f>
        <v/>
      </c>
    </row>
    <row r="304" spans="3:3" x14ac:dyDescent="0.15">
      <c r="C304" t="str">
        <f>TRIM(MID(SUBSTITUTE($B$1,",",REPT(" ",LEN($B$1))),((ROWS($B$1:$B304)-1)*LEN($B$1))+1,LEN($B$1)))</f>
        <v/>
      </c>
    </row>
    <row r="305" spans="3:3" x14ac:dyDescent="0.15">
      <c r="C305" t="str">
        <f>TRIM(MID(SUBSTITUTE($B$1,",",REPT(" ",LEN($B$1))),((ROWS($B$1:$B305)-1)*LEN($B$1))+1,LEN($B$1)))</f>
        <v/>
      </c>
    </row>
    <row r="306" spans="3:3" x14ac:dyDescent="0.15">
      <c r="C306" t="str">
        <f>TRIM(MID(SUBSTITUTE($B$1,",",REPT(" ",LEN($B$1))),((ROWS($B$1:$B306)-1)*LEN($B$1))+1,LEN($B$1)))</f>
        <v/>
      </c>
    </row>
    <row r="307" spans="3:3" x14ac:dyDescent="0.15">
      <c r="C307" t="str">
        <f>TRIM(MID(SUBSTITUTE($B$1,",",REPT(" ",LEN($B$1))),((ROWS($B$1:$B307)-1)*LEN($B$1))+1,LEN($B$1)))</f>
        <v/>
      </c>
    </row>
    <row r="308" spans="3:3" x14ac:dyDescent="0.15">
      <c r="C308" t="str">
        <f>TRIM(MID(SUBSTITUTE($B$1,",",REPT(" ",LEN($B$1))),((ROWS($B$1:$B308)-1)*LEN($B$1))+1,LEN($B$1)))</f>
        <v/>
      </c>
    </row>
    <row r="309" spans="3:3" x14ac:dyDescent="0.15">
      <c r="C309" t="str">
        <f>TRIM(MID(SUBSTITUTE($B$1,",",REPT(" ",LEN($B$1))),((ROWS($B$1:$B309)-1)*LEN($B$1))+1,LEN($B$1)))</f>
        <v/>
      </c>
    </row>
    <row r="310" spans="3:3" x14ac:dyDescent="0.15">
      <c r="C310" t="str">
        <f>TRIM(MID(SUBSTITUTE($B$1,",",REPT(" ",LEN($B$1))),((ROWS($B$1:$B310)-1)*LEN($B$1))+1,LEN($B$1)))</f>
        <v/>
      </c>
    </row>
    <row r="311" spans="3:3" x14ac:dyDescent="0.15">
      <c r="C311" t="str">
        <f>TRIM(MID(SUBSTITUTE($B$1,",",REPT(" ",LEN($B$1))),((ROWS($B$1:$B311)-1)*LEN($B$1))+1,LEN($B$1)))</f>
        <v/>
      </c>
    </row>
    <row r="312" spans="3:3" x14ac:dyDescent="0.15">
      <c r="C312" t="str">
        <f>TRIM(MID(SUBSTITUTE($B$1,",",REPT(" ",LEN($B$1))),((ROWS($B$1:$B312)-1)*LEN($B$1))+1,LEN($B$1)))</f>
        <v/>
      </c>
    </row>
    <row r="313" spans="3:3" x14ac:dyDescent="0.15">
      <c r="C313" t="str">
        <f>TRIM(MID(SUBSTITUTE($B$1,",",REPT(" ",LEN($B$1))),((ROWS($B$1:$B313)-1)*LEN($B$1))+1,LEN($B$1)))</f>
        <v/>
      </c>
    </row>
    <row r="314" spans="3:3" x14ac:dyDescent="0.15">
      <c r="C314" t="str">
        <f>TRIM(MID(SUBSTITUTE($B$1,",",REPT(" ",LEN($B$1))),((ROWS($B$1:$B314)-1)*LEN($B$1))+1,LEN($B$1)))</f>
        <v/>
      </c>
    </row>
    <row r="315" spans="3:3" x14ac:dyDescent="0.15">
      <c r="C315" t="str">
        <f>TRIM(MID(SUBSTITUTE($B$1,",",REPT(" ",LEN($B$1))),((ROWS($B$1:$B315)-1)*LEN($B$1))+1,LEN($B$1)))</f>
        <v/>
      </c>
    </row>
    <row r="316" spans="3:3" x14ac:dyDescent="0.15">
      <c r="C316" t="str">
        <f>TRIM(MID(SUBSTITUTE($B$1,",",REPT(" ",LEN($B$1))),((ROWS($B$1:$B316)-1)*LEN($B$1))+1,LEN($B$1)))</f>
        <v/>
      </c>
    </row>
    <row r="317" spans="3:3" x14ac:dyDescent="0.15">
      <c r="C317" t="str">
        <f>TRIM(MID(SUBSTITUTE($B$1,",",REPT(" ",LEN($B$1))),((ROWS($B$1:$B317)-1)*LEN($B$1))+1,LEN($B$1)))</f>
        <v/>
      </c>
    </row>
    <row r="318" spans="3:3" x14ac:dyDescent="0.15">
      <c r="C318" t="str">
        <f>TRIM(MID(SUBSTITUTE($B$1,",",REPT(" ",LEN($B$1))),((ROWS($B$1:$B318)-1)*LEN($B$1))+1,LEN($B$1)))</f>
        <v/>
      </c>
    </row>
    <row r="319" spans="3:3" x14ac:dyDescent="0.15">
      <c r="C319" t="str">
        <f>TRIM(MID(SUBSTITUTE($B$1,",",REPT(" ",LEN($B$1))),((ROWS($B$1:$B319)-1)*LEN($B$1))+1,LEN($B$1)))</f>
        <v/>
      </c>
    </row>
    <row r="320" spans="3:3" x14ac:dyDescent="0.15">
      <c r="C320" t="str">
        <f>TRIM(MID(SUBSTITUTE($B$1,",",REPT(" ",LEN($B$1))),((ROWS($B$1:$B320)-1)*LEN($B$1))+1,LEN($B$1)))</f>
        <v/>
      </c>
    </row>
    <row r="321" spans="3:3" x14ac:dyDescent="0.15">
      <c r="C321" t="str">
        <f>TRIM(MID(SUBSTITUTE($B$1,",",REPT(" ",LEN($B$1))),((ROWS($B$1:$B321)-1)*LEN($B$1))+1,LEN($B$1)))</f>
        <v/>
      </c>
    </row>
    <row r="322" spans="3:3" x14ac:dyDescent="0.15">
      <c r="C322" t="str">
        <f>TRIM(MID(SUBSTITUTE($B$1,",",REPT(" ",LEN($B$1))),((ROWS($B$1:$B322)-1)*LEN($B$1))+1,LEN($B$1)))</f>
        <v/>
      </c>
    </row>
    <row r="323" spans="3:3" x14ac:dyDescent="0.15">
      <c r="C323" t="str">
        <f>TRIM(MID(SUBSTITUTE($B$1,",",REPT(" ",LEN($B$1))),((ROWS($B$1:$B323)-1)*LEN($B$1))+1,LEN($B$1)))</f>
        <v/>
      </c>
    </row>
    <row r="324" spans="3:3" x14ac:dyDescent="0.15">
      <c r="C324" t="str">
        <f>TRIM(MID(SUBSTITUTE($B$1,",",REPT(" ",LEN($B$1))),((ROWS($B$1:$B324)-1)*LEN($B$1))+1,LEN($B$1)))</f>
        <v/>
      </c>
    </row>
    <row r="325" spans="3:3" x14ac:dyDescent="0.15">
      <c r="C325" t="str">
        <f>TRIM(MID(SUBSTITUTE($B$1,",",REPT(" ",LEN($B$1))),((ROWS($B$1:$B325)-1)*LEN($B$1))+1,LEN($B$1)))</f>
        <v/>
      </c>
    </row>
    <row r="326" spans="3:3" x14ac:dyDescent="0.15">
      <c r="C326" t="str">
        <f>TRIM(MID(SUBSTITUTE($B$1,",",REPT(" ",LEN($B$1))),((ROWS($B$1:$B326)-1)*LEN($B$1))+1,LEN($B$1)))</f>
        <v/>
      </c>
    </row>
    <row r="327" spans="3:3" x14ac:dyDescent="0.15">
      <c r="C327" t="str">
        <f>TRIM(MID(SUBSTITUTE($B$1,",",REPT(" ",LEN($B$1))),((ROWS($B$1:$B327)-1)*LEN($B$1))+1,LEN($B$1)))</f>
        <v/>
      </c>
    </row>
    <row r="328" spans="3:3" x14ac:dyDescent="0.15">
      <c r="C328" t="str">
        <f>TRIM(MID(SUBSTITUTE($B$1,",",REPT(" ",LEN($B$1))),((ROWS($B$1:$B328)-1)*LEN($B$1))+1,LEN($B$1)))</f>
        <v/>
      </c>
    </row>
    <row r="329" spans="3:3" x14ac:dyDescent="0.15">
      <c r="C329" t="str">
        <f>TRIM(MID(SUBSTITUTE($B$1,",",REPT(" ",LEN($B$1))),((ROWS($B$1:$B329)-1)*LEN($B$1))+1,LEN($B$1)))</f>
        <v/>
      </c>
    </row>
    <row r="330" spans="3:3" x14ac:dyDescent="0.15">
      <c r="C330" t="str">
        <f>TRIM(MID(SUBSTITUTE($B$1,",",REPT(" ",LEN($B$1))),((ROWS($B$1:$B330)-1)*LEN($B$1))+1,LEN($B$1)))</f>
        <v/>
      </c>
    </row>
    <row r="331" spans="3:3" x14ac:dyDescent="0.15">
      <c r="C331" t="str">
        <f>TRIM(MID(SUBSTITUTE($B$1,",",REPT(" ",LEN($B$1))),((ROWS($B$1:$B331)-1)*LEN($B$1))+1,LEN($B$1)))</f>
        <v/>
      </c>
    </row>
    <row r="332" spans="3:3" x14ac:dyDescent="0.15">
      <c r="C332" t="str">
        <f>TRIM(MID(SUBSTITUTE($B$1,",",REPT(" ",LEN($B$1))),((ROWS($B$1:$B332)-1)*LEN($B$1))+1,LEN($B$1)))</f>
        <v/>
      </c>
    </row>
    <row r="333" spans="3:3" x14ac:dyDescent="0.15">
      <c r="C333" t="str">
        <f>TRIM(MID(SUBSTITUTE($B$1,",",REPT(" ",LEN($B$1))),((ROWS($B$1:$B333)-1)*LEN($B$1))+1,LEN($B$1)))</f>
        <v/>
      </c>
    </row>
    <row r="334" spans="3:3" x14ac:dyDescent="0.15">
      <c r="C334" t="str">
        <f>TRIM(MID(SUBSTITUTE($B$1,",",REPT(" ",LEN($B$1))),((ROWS($B$1:$B334)-1)*LEN($B$1))+1,LEN($B$1)))</f>
        <v/>
      </c>
    </row>
    <row r="335" spans="3:3" x14ac:dyDescent="0.15">
      <c r="C335" t="str">
        <f>TRIM(MID(SUBSTITUTE($B$1,",",REPT(" ",LEN($B$1))),((ROWS($B$1:$B335)-1)*LEN($B$1))+1,LEN($B$1)))</f>
        <v/>
      </c>
    </row>
    <row r="336" spans="3:3" x14ac:dyDescent="0.15">
      <c r="C336" t="str">
        <f>TRIM(MID(SUBSTITUTE($B$1,",",REPT(" ",LEN($B$1))),((ROWS($B$1:$B336)-1)*LEN($B$1))+1,LEN($B$1)))</f>
        <v/>
      </c>
    </row>
    <row r="337" spans="3:3" x14ac:dyDescent="0.15">
      <c r="C337" t="str">
        <f>TRIM(MID(SUBSTITUTE($B$1,",",REPT(" ",LEN($B$1))),((ROWS($B$1:$B337)-1)*LEN($B$1))+1,LEN($B$1)))</f>
        <v/>
      </c>
    </row>
    <row r="338" spans="3:3" x14ac:dyDescent="0.15">
      <c r="C338" t="str">
        <f>TRIM(MID(SUBSTITUTE($B$1,",",REPT(" ",LEN($B$1))),((ROWS($B$1:$B338)-1)*LEN($B$1))+1,LEN($B$1)))</f>
        <v/>
      </c>
    </row>
    <row r="339" spans="3:3" x14ac:dyDescent="0.15">
      <c r="C339" t="str">
        <f>TRIM(MID(SUBSTITUTE($B$1,",",REPT(" ",LEN($B$1))),((ROWS($B$1:$B339)-1)*LEN($B$1))+1,LEN($B$1)))</f>
        <v/>
      </c>
    </row>
    <row r="340" spans="3:3" x14ac:dyDescent="0.15">
      <c r="C340" t="str">
        <f>TRIM(MID(SUBSTITUTE($B$1,",",REPT(" ",LEN($B$1))),((ROWS($B$1:$B340)-1)*LEN($B$1))+1,LEN($B$1)))</f>
        <v/>
      </c>
    </row>
    <row r="341" spans="3:3" x14ac:dyDescent="0.15">
      <c r="C341" t="str">
        <f>TRIM(MID(SUBSTITUTE($B$1,",",REPT(" ",LEN($B$1))),((ROWS($B$1:$B341)-1)*LEN($B$1))+1,LEN($B$1)))</f>
        <v/>
      </c>
    </row>
    <row r="342" spans="3:3" x14ac:dyDescent="0.15">
      <c r="C342" t="str">
        <f>TRIM(MID(SUBSTITUTE($B$1,",",REPT(" ",LEN($B$1))),((ROWS($B$1:$B342)-1)*LEN($B$1))+1,LEN($B$1)))</f>
        <v/>
      </c>
    </row>
    <row r="343" spans="3:3" x14ac:dyDescent="0.15">
      <c r="C343" t="str">
        <f>TRIM(MID(SUBSTITUTE($B$1,",",REPT(" ",LEN($B$1))),((ROWS($B$1:$B343)-1)*LEN($B$1))+1,LEN($B$1)))</f>
        <v/>
      </c>
    </row>
    <row r="344" spans="3:3" x14ac:dyDescent="0.15">
      <c r="C344" t="str">
        <f>TRIM(MID(SUBSTITUTE($B$1,",",REPT(" ",LEN($B$1))),((ROWS($B$1:$B344)-1)*LEN($B$1))+1,LEN($B$1)))</f>
        <v/>
      </c>
    </row>
    <row r="345" spans="3:3" x14ac:dyDescent="0.15">
      <c r="C345" t="str">
        <f>TRIM(MID(SUBSTITUTE($B$1,",",REPT(" ",LEN($B$1))),((ROWS($B$1:$B345)-1)*LEN($B$1))+1,LEN($B$1)))</f>
        <v/>
      </c>
    </row>
    <row r="346" spans="3:3" x14ac:dyDescent="0.15">
      <c r="C346" t="str">
        <f>TRIM(MID(SUBSTITUTE($B$1,",",REPT(" ",LEN($B$1))),((ROWS($B$1:$B346)-1)*LEN($B$1))+1,LEN($B$1)))</f>
        <v/>
      </c>
    </row>
    <row r="347" spans="3:3" x14ac:dyDescent="0.15">
      <c r="C347" t="str">
        <f>TRIM(MID(SUBSTITUTE($B$1,",",REPT(" ",LEN($B$1))),((ROWS($B$1:$B347)-1)*LEN($B$1))+1,LEN($B$1)))</f>
        <v/>
      </c>
    </row>
    <row r="348" spans="3:3" x14ac:dyDescent="0.15">
      <c r="C348" t="str">
        <f>TRIM(MID(SUBSTITUTE($B$1,",",REPT(" ",LEN($B$1))),((ROWS($B$1:$B348)-1)*LEN($B$1))+1,LEN($B$1)))</f>
        <v/>
      </c>
    </row>
    <row r="349" spans="3:3" x14ac:dyDescent="0.15">
      <c r="C349" t="str">
        <f>TRIM(MID(SUBSTITUTE($B$1,",",REPT(" ",LEN($B$1))),((ROWS($B$1:$B349)-1)*LEN($B$1))+1,LEN($B$1)))</f>
        <v/>
      </c>
    </row>
    <row r="350" spans="3:3" x14ac:dyDescent="0.15">
      <c r="C350" t="str">
        <f>TRIM(MID(SUBSTITUTE($B$1,",",REPT(" ",LEN($B$1))),((ROWS($B$1:$B350)-1)*LEN($B$1))+1,LEN($B$1)))</f>
        <v/>
      </c>
    </row>
    <row r="351" spans="3:3" x14ac:dyDescent="0.15">
      <c r="C351" t="str">
        <f>TRIM(MID(SUBSTITUTE($B$1,",",REPT(" ",LEN($B$1))),((ROWS($B$1:$B351)-1)*LEN($B$1))+1,LEN($B$1)))</f>
        <v/>
      </c>
    </row>
    <row r="352" spans="3:3" x14ac:dyDescent="0.15">
      <c r="C352" t="str">
        <f>TRIM(MID(SUBSTITUTE($B$1,",",REPT(" ",LEN($B$1))),((ROWS($B$1:$B352)-1)*LEN($B$1))+1,LEN($B$1)))</f>
        <v/>
      </c>
    </row>
    <row r="353" spans="3:3" x14ac:dyDescent="0.15">
      <c r="C353" t="str">
        <f>TRIM(MID(SUBSTITUTE($B$1,",",REPT(" ",LEN($B$1))),((ROWS($B$1:$B353)-1)*LEN($B$1))+1,LEN($B$1)))</f>
        <v/>
      </c>
    </row>
    <row r="354" spans="3:3" x14ac:dyDescent="0.15">
      <c r="C354" t="str">
        <f>TRIM(MID(SUBSTITUTE($B$1,",",REPT(" ",LEN($B$1))),((ROWS($B$1:$B354)-1)*LEN($B$1))+1,LEN($B$1)))</f>
        <v/>
      </c>
    </row>
    <row r="355" spans="3:3" x14ac:dyDescent="0.15">
      <c r="C355" t="str">
        <f>TRIM(MID(SUBSTITUTE($B$1,",",REPT(" ",LEN($B$1))),((ROWS($B$1:$B355)-1)*LEN($B$1))+1,LEN($B$1)))</f>
        <v/>
      </c>
    </row>
    <row r="356" spans="3:3" x14ac:dyDescent="0.15">
      <c r="C356" t="str">
        <f>TRIM(MID(SUBSTITUTE($B$1,",",REPT(" ",LEN($B$1))),((ROWS($B$1:$B356)-1)*LEN($B$1))+1,LEN($B$1)))</f>
        <v/>
      </c>
    </row>
    <row r="357" spans="3:3" x14ac:dyDescent="0.15">
      <c r="C357" t="str">
        <f>TRIM(MID(SUBSTITUTE($B$1,",",REPT(" ",LEN($B$1))),((ROWS($B$1:$B357)-1)*LEN($B$1))+1,LEN($B$1)))</f>
        <v/>
      </c>
    </row>
    <row r="358" spans="3:3" x14ac:dyDescent="0.15">
      <c r="C358" t="str">
        <f>TRIM(MID(SUBSTITUTE($B$1,",",REPT(" ",LEN($B$1))),((ROWS($B$1:$B358)-1)*LEN($B$1))+1,LEN($B$1)))</f>
        <v/>
      </c>
    </row>
    <row r="359" spans="3:3" x14ac:dyDescent="0.15">
      <c r="C359" t="str">
        <f>TRIM(MID(SUBSTITUTE($B$1,",",REPT(" ",LEN($B$1))),((ROWS($B$1:$B359)-1)*LEN($B$1))+1,LEN($B$1)))</f>
        <v/>
      </c>
    </row>
    <row r="360" spans="3:3" x14ac:dyDescent="0.15">
      <c r="C360" t="str">
        <f>TRIM(MID(SUBSTITUTE($B$1,",",REPT(" ",LEN($B$1))),((ROWS($B$1:$B360)-1)*LEN($B$1))+1,LEN($B$1)))</f>
        <v/>
      </c>
    </row>
    <row r="361" spans="3:3" x14ac:dyDescent="0.15">
      <c r="C361" t="str">
        <f>TRIM(MID(SUBSTITUTE($B$1,",",REPT(" ",LEN($B$1))),((ROWS($B$1:$B361)-1)*LEN($B$1))+1,LEN($B$1)))</f>
        <v/>
      </c>
    </row>
    <row r="362" spans="3:3" x14ac:dyDescent="0.15">
      <c r="C362" t="str">
        <f>TRIM(MID(SUBSTITUTE($B$1,",",REPT(" ",LEN($B$1))),((ROWS($B$1:$B362)-1)*LEN($B$1))+1,LEN($B$1)))</f>
        <v/>
      </c>
    </row>
    <row r="363" spans="3:3" x14ac:dyDescent="0.15">
      <c r="C363" t="str">
        <f>TRIM(MID(SUBSTITUTE($B$1,",",REPT(" ",LEN($B$1))),((ROWS($B$1:$B363)-1)*LEN($B$1))+1,LEN($B$1)))</f>
        <v/>
      </c>
    </row>
    <row r="364" spans="3:3" x14ac:dyDescent="0.15">
      <c r="C364" t="str">
        <f>TRIM(MID(SUBSTITUTE($B$1,",",REPT(" ",LEN($B$1))),((ROWS($B$1:$B364)-1)*LEN($B$1))+1,LEN($B$1)))</f>
        <v/>
      </c>
    </row>
    <row r="365" spans="3:3" x14ac:dyDescent="0.15">
      <c r="C365" t="str">
        <f>TRIM(MID(SUBSTITUTE($B$1,",",REPT(" ",LEN($B$1))),((ROWS($B$1:$B365)-1)*LEN($B$1))+1,LEN($B$1)))</f>
        <v/>
      </c>
    </row>
    <row r="366" spans="3:3" x14ac:dyDescent="0.15">
      <c r="C366" t="str">
        <f>TRIM(MID(SUBSTITUTE($B$1,",",REPT(" ",LEN($B$1))),((ROWS($B$1:$B366)-1)*LEN($B$1))+1,LEN($B$1)))</f>
        <v/>
      </c>
    </row>
    <row r="367" spans="3:3" x14ac:dyDescent="0.15">
      <c r="C367" t="str">
        <f>TRIM(MID(SUBSTITUTE($B$1,",",REPT(" ",LEN($B$1))),((ROWS($B$1:$B367)-1)*LEN($B$1))+1,LEN($B$1)))</f>
        <v/>
      </c>
    </row>
    <row r="368" spans="3:3" x14ac:dyDescent="0.15">
      <c r="C368" t="str">
        <f>TRIM(MID(SUBSTITUTE($B$1,",",REPT(" ",LEN($B$1))),((ROWS($B$1:$B368)-1)*LEN($B$1))+1,LEN($B$1)))</f>
        <v/>
      </c>
    </row>
    <row r="369" spans="3:3" x14ac:dyDescent="0.15">
      <c r="C369" t="str">
        <f>TRIM(MID(SUBSTITUTE($B$1,",",REPT(" ",LEN($B$1))),((ROWS($B$1:$B369)-1)*LEN($B$1))+1,LEN($B$1)))</f>
        <v/>
      </c>
    </row>
    <row r="370" spans="3:3" x14ac:dyDescent="0.15">
      <c r="C370" t="str">
        <f>TRIM(MID(SUBSTITUTE($B$1,",",REPT(" ",LEN($B$1))),((ROWS($B$1:$B370)-1)*LEN($B$1))+1,LEN($B$1)))</f>
        <v/>
      </c>
    </row>
    <row r="371" spans="3:3" x14ac:dyDescent="0.15">
      <c r="C371" t="str">
        <f>TRIM(MID(SUBSTITUTE($B$1,",",REPT(" ",LEN($B$1))),((ROWS($B$1:$B371)-1)*LEN($B$1))+1,LEN($B$1)))</f>
        <v/>
      </c>
    </row>
    <row r="372" spans="3:3" x14ac:dyDescent="0.15">
      <c r="C372" t="str">
        <f>TRIM(MID(SUBSTITUTE($B$1,",",REPT(" ",LEN($B$1))),((ROWS($B$1:$B372)-1)*LEN($B$1))+1,LEN($B$1)))</f>
        <v/>
      </c>
    </row>
    <row r="373" spans="3:3" x14ac:dyDescent="0.15">
      <c r="C373" t="str">
        <f>TRIM(MID(SUBSTITUTE($B$1,",",REPT(" ",LEN($B$1))),((ROWS($B$1:$B373)-1)*LEN($B$1))+1,LEN($B$1)))</f>
        <v/>
      </c>
    </row>
    <row r="374" spans="3:3" x14ac:dyDescent="0.15">
      <c r="C374" t="str">
        <f>TRIM(MID(SUBSTITUTE($B$1,",",REPT(" ",LEN($B$1))),((ROWS($B$1:$B374)-1)*LEN($B$1))+1,LEN($B$1)))</f>
        <v/>
      </c>
    </row>
    <row r="375" spans="3:3" x14ac:dyDescent="0.15">
      <c r="C375" t="str">
        <f>TRIM(MID(SUBSTITUTE($B$1,",",REPT(" ",LEN($B$1))),((ROWS($B$1:$B375)-1)*LEN($B$1))+1,LEN($B$1)))</f>
        <v/>
      </c>
    </row>
    <row r="376" spans="3:3" x14ac:dyDescent="0.15">
      <c r="C376" t="str">
        <f>TRIM(MID(SUBSTITUTE($B$1,",",REPT(" ",LEN($B$1))),((ROWS($B$1:$B376)-1)*LEN($B$1))+1,LEN($B$1)))</f>
        <v/>
      </c>
    </row>
    <row r="377" spans="3:3" x14ac:dyDescent="0.15">
      <c r="C377" t="str">
        <f>TRIM(MID(SUBSTITUTE($B$1,",",REPT(" ",LEN($B$1))),((ROWS($B$1:$B377)-1)*LEN($B$1))+1,LEN($B$1)))</f>
        <v/>
      </c>
    </row>
    <row r="378" spans="3:3" x14ac:dyDescent="0.15">
      <c r="C378" t="str">
        <f>TRIM(MID(SUBSTITUTE($B$1,",",REPT(" ",LEN($B$1))),((ROWS($B$1:$B378)-1)*LEN($B$1))+1,LEN($B$1)))</f>
        <v/>
      </c>
    </row>
    <row r="379" spans="3:3" x14ac:dyDescent="0.15">
      <c r="C379" t="str">
        <f>TRIM(MID(SUBSTITUTE($B$1,",",REPT(" ",LEN($B$1))),((ROWS($B$1:$B379)-1)*LEN($B$1))+1,LEN($B$1)))</f>
        <v/>
      </c>
    </row>
    <row r="380" spans="3:3" x14ac:dyDescent="0.15">
      <c r="C380" t="str">
        <f>TRIM(MID(SUBSTITUTE($B$1,",",REPT(" ",LEN($B$1))),((ROWS($B$1:$B380)-1)*LEN($B$1))+1,LEN($B$1)))</f>
        <v/>
      </c>
    </row>
    <row r="381" spans="3:3" x14ac:dyDescent="0.15">
      <c r="C381" t="str">
        <f>TRIM(MID(SUBSTITUTE($B$1,",",REPT(" ",LEN($B$1))),((ROWS($B$1:$B381)-1)*LEN($B$1))+1,LEN($B$1)))</f>
        <v/>
      </c>
    </row>
    <row r="382" spans="3:3" x14ac:dyDescent="0.15">
      <c r="C382" t="str">
        <f>TRIM(MID(SUBSTITUTE($B$1,",",REPT(" ",LEN($B$1))),((ROWS($B$1:$B382)-1)*LEN($B$1))+1,LEN($B$1)))</f>
        <v/>
      </c>
    </row>
    <row r="383" spans="3:3" x14ac:dyDescent="0.15">
      <c r="C383" t="str">
        <f>TRIM(MID(SUBSTITUTE($B$1,",",REPT(" ",LEN($B$1))),((ROWS($B$1:$B383)-1)*LEN($B$1))+1,LEN($B$1)))</f>
        <v/>
      </c>
    </row>
    <row r="384" spans="3:3" x14ac:dyDescent="0.15">
      <c r="C384" t="str">
        <f>TRIM(MID(SUBSTITUTE($B$1,",",REPT(" ",LEN($B$1))),((ROWS($B$1:$B384)-1)*LEN($B$1))+1,LEN($B$1)))</f>
        <v/>
      </c>
    </row>
    <row r="385" spans="3:3" x14ac:dyDescent="0.15">
      <c r="C385" t="str">
        <f>TRIM(MID(SUBSTITUTE($B$1,",",REPT(" ",LEN($B$1))),((ROWS($B$1:$B385)-1)*LEN($B$1))+1,LEN($B$1)))</f>
        <v/>
      </c>
    </row>
    <row r="386" spans="3:3" x14ac:dyDescent="0.15">
      <c r="C386" t="str">
        <f>TRIM(MID(SUBSTITUTE($B$1,",",REPT(" ",LEN($B$1))),((ROWS($B$1:$B386)-1)*LEN($B$1))+1,LEN($B$1)))</f>
        <v/>
      </c>
    </row>
    <row r="387" spans="3:3" x14ac:dyDescent="0.15">
      <c r="C387" t="str">
        <f>TRIM(MID(SUBSTITUTE($B$1,",",REPT(" ",LEN($B$1))),((ROWS($B$1:$B387)-1)*LEN($B$1))+1,LEN($B$1)))</f>
        <v/>
      </c>
    </row>
    <row r="388" spans="3:3" x14ac:dyDescent="0.15">
      <c r="C388" t="str">
        <f>TRIM(MID(SUBSTITUTE($B$1,",",REPT(" ",LEN($B$1))),((ROWS($B$1:$B388)-1)*LEN($B$1))+1,LEN($B$1)))</f>
        <v/>
      </c>
    </row>
    <row r="389" spans="3:3" x14ac:dyDescent="0.15">
      <c r="C389" t="str">
        <f>TRIM(MID(SUBSTITUTE($B$1,",",REPT(" ",LEN($B$1))),((ROWS($B$1:$B389)-1)*LEN($B$1))+1,LEN($B$1)))</f>
        <v/>
      </c>
    </row>
    <row r="390" spans="3:3" x14ac:dyDescent="0.15">
      <c r="C390" t="str">
        <f>TRIM(MID(SUBSTITUTE($B$1,",",REPT(" ",LEN($B$1))),((ROWS($B$1:$B390)-1)*LEN($B$1))+1,LEN($B$1)))</f>
        <v/>
      </c>
    </row>
    <row r="391" spans="3:3" x14ac:dyDescent="0.15">
      <c r="C391" t="str">
        <f>TRIM(MID(SUBSTITUTE($B$1,",",REPT(" ",LEN($B$1))),((ROWS($B$1:$B391)-1)*LEN($B$1))+1,LEN($B$1)))</f>
        <v/>
      </c>
    </row>
    <row r="392" spans="3:3" x14ac:dyDescent="0.15">
      <c r="C392" t="str">
        <f>TRIM(MID(SUBSTITUTE($B$1,",",REPT(" ",LEN($B$1))),((ROWS($B$1:$B392)-1)*LEN($B$1))+1,LEN($B$1)))</f>
        <v/>
      </c>
    </row>
    <row r="393" spans="3:3" x14ac:dyDescent="0.15">
      <c r="C393" t="str">
        <f>TRIM(MID(SUBSTITUTE($B$1,",",REPT(" ",LEN($B$1))),((ROWS($B$1:$B393)-1)*LEN($B$1))+1,LEN($B$1)))</f>
        <v/>
      </c>
    </row>
    <row r="394" spans="3:3" x14ac:dyDescent="0.15">
      <c r="C394" t="str">
        <f>TRIM(MID(SUBSTITUTE($B$1,",",REPT(" ",LEN($B$1))),((ROWS($B$1:$B394)-1)*LEN($B$1))+1,LEN($B$1)))</f>
        <v/>
      </c>
    </row>
    <row r="395" spans="3:3" x14ac:dyDescent="0.15">
      <c r="C395" t="str">
        <f>TRIM(MID(SUBSTITUTE($B$1,",",REPT(" ",LEN($B$1))),((ROWS($B$1:$B395)-1)*LEN($B$1))+1,LEN($B$1)))</f>
        <v/>
      </c>
    </row>
    <row r="396" spans="3:3" x14ac:dyDescent="0.15">
      <c r="C396" t="str">
        <f>TRIM(MID(SUBSTITUTE($B$1,",",REPT(" ",LEN($B$1))),((ROWS($B$1:$B396)-1)*LEN($B$1))+1,LEN($B$1)))</f>
        <v/>
      </c>
    </row>
    <row r="397" spans="3:3" x14ac:dyDescent="0.15">
      <c r="C397" t="str">
        <f>TRIM(MID(SUBSTITUTE($B$1,",",REPT(" ",LEN($B$1))),((ROWS($B$1:$B397)-1)*LEN($B$1))+1,LEN($B$1)))</f>
        <v/>
      </c>
    </row>
    <row r="398" spans="3:3" x14ac:dyDescent="0.15">
      <c r="C398" t="str">
        <f>TRIM(MID(SUBSTITUTE($B$1,",",REPT(" ",LEN($B$1))),((ROWS($B$1:$B398)-1)*LEN($B$1))+1,LEN($B$1)))</f>
        <v/>
      </c>
    </row>
    <row r="399" spans="3:3" x14ac:dyDescent="0.15">
      <c r="C399" t="str">
        <f>TRIM(MID(SUBSTITUTE($B$1,",",REPT(" ",LEN($B$1))),((ROWS($B$1:$B399)-1)*LEN($B$1))+1,LEN($B$1)))</f>
        <v/>
      </c>
    </row>
    <row r="400" spans="3:3" x14ac:dyDescent="0.15">
      <c r="C400" t="str">
        <f>TRIM(MID(SUBSTITUTE($B$1,",",REPT(" ",LEN($B$1))),((ROWS($B$1:$B400)-1)*LEN($B$1))+1,LEN($B$1)))</f>
        <v/>
      </c>
    </row>
    <row r="401" spans="3:3" x14ac:dyDescent="0.15">
      <c r="C401" t="str">
        <f>TRIM(MID(SUBSTITUTE($B$1,",",REPT(" ",LEN($B$1))),((ROWS($B$1:$B401)-1)*LEN($B$1))+1,LEN($B$1)))</f>
        <v/>
      </c>
    </row>
    <row r="402" spans="3:3" x14ac:dyDescent="0.15">
      <c r="C402" t="str">
        <f>TRIM(MID(SUBSTITUTE($B$1,",",REPT(" ",LEN($B$1))),((ROWS($B$1:$B402)-1)*LEN($B$1))+1,LEN($B$1)))</f>
        <v/>
      </c>
    </row>
    <row r="403" spans="3:3" x14ac:dyDescent="0.15">
      <c r="C403" t="str">
        <f>TRIM(MID(SUBSTITUTE($B$1,",",REPT(" ",LEN($B$1))),((ROWS($B$1:$B403)-1)*LEN($B$1))+1,LEN($B$1)))</f>
        <v/>
      </c>
    </row>
    <row r="404" spans="3:3" x14ac:dyDescent="0.15">
      <c r="C404" t="str">
        <f>TRIM(MID(SUBSTITUTE($B$1,",",REPT(" ",LEN($B$1))),((ROWS($B$1:$B404)-1)*LEN($B$1))+1,LEN($B$1)))</f>
        <v/>
      </c>
    </row>
    <row r="405" spans="3:3" x14ac:dyDescent="0.15">
      <c r="C405" t="str">
        <f>TRIM(MID(SUBSTITUTE($B$1,",",REPT(" ",LEN($B$1))),((ROWS($B$1:$B405)-1)*LEN($B$1))+1,LEN($B$1)))</f>
        <v/>
      </c>
    </row>
    <row r="406" spans="3:3" x14ac:dyDescent="0.15">
      <c r="C406" t="str">
        <f>TRIM(MID(SUBSTITUTE($B$1,",",REPT(" ",LEN($B$1))),((ROWS($B$1:$B406)-1)*LEN($B$1))+1,LEN($B$1)))</f>
        <v/>
      </c>
    </row>
    <row r="407" spans="3:3" x14ac:dyDescent="0.15">
      <c r="C407" t="str">
        <f>TRIM(MID(SUBSTITUTE($B$1,",",REPT(" ",LEN($B$1))),((ROWS($B$1:$B407)-1)*LEN($B$1))+1,LEN($B$1)))</f>
        <v/>
      </c>
    </row>
    <row r="408" spans="3:3" x14ac:dyDescent="0.15">
      <c r="C408" t="str">
        <f>TRIM(MID(SUBSTITUTE($B$1,",",REPT(" ",LEN($B$1))),((ROWS($B$1:$B408)-1)*LEN($B$1))+1,LEN($B$1)))</f>
        <v/>
      </c>
    </row>
    <row r="409" spans="3:3" x14ac:dyDescent="0.15">
      <c r="C409" t="str">
        <f>TRIM(MID(SUBSTITUTE($B$1,",",REPT(" ",LEN($B$1))),((ROWS($B$1:$B409)-1)*LEN($B$1))+1,LEN($B$1)))</f>
        <v/>
      </c>
    </row>
    <row r="410" spans="3:3" x14ac:dyDescent="0.15">
      <c r="C410" t="str">
        <f>TRIM(MID(SUBSTITUTE($B$1,",",REPT(" ",LEN($B$1))),((ROWS($B$1:$B410)-1)*LEN($B$1))+1,LEN($B$1)))</f>
        <v/>
      </c>
    </row>
    <row r="411" spans="3:3" x14ac:dyDescent="0.15">
      <c r="C411" t="str">
        <f>TRIM(MID(SUBSTITUTE($B$1,",",REPT(" ",LEN($B$1))),((ROWS($B$1:$B411)-1)*LEN($B$1))+1,LEN($B$1)))</f>
        <v/>
      </c>
    </row>
    <row r="412" spans="3:3" x14ac:dyDescent="0.15">
      <c r="C412" t="str">
        <f>TRIM(MID(SUBSTITUTE($B$1,",",REPT(" ",LEN($B$1))),((ROWS($B$1:$B412)-1)*LEN($B$1))+1,LEN($B$1)))</f>
        <v/>
      </c>
    </row>
    <row r="413" spans="3:3" x14ac:dyDescent="0.15">
      <c r="C413" t="str">
        <f>TRIM(MID(SUBSTITUTE($B$1,",",REPT(" ",LEN($B$1))),((ROWS($B$1:$B413)-1)*LEN($B$1))+1,LEN($B$1)))</f>
        <v/>
      </c>
    </row>
    <row r="414" spans="3:3" x14ac:dyDescent="0.15">
      <c r="C414" t="str">
        <f>TRIM(MID(SUBSTITUTE($B$1,",",REPT(" ",LEN($B$1))),((ROWS($B$1:$B414)-1)*LEN($B$1))+1,LEN($B$1)))</f>
        <v/>
      </c>
    </row>
    <row r="415" spans="3:3" x14ac:dyDescent="0.15">
      <c r="C415" t="str">
        <f>TRIM(MID(SUBSTITUTE($B$1,",",REPT(" ",LEN($B$1))),((ROWS($B$1:$B415)-1)*LEN($B$1))+1,LEN($B$1)))</f>
        <v/>
      </c>
    </row>
    <row r="416" spans="3:3" x14ac:dyDescent="0.15">
      <c r="C416" t="str">
        <f>TRIM(MID(SUBSTITUTE($B$1,",",REPT(" ",LEN($B$1))),((ROWS($B$1:$B416)-1)*LEN($B$1))+1,LEN($B$1)))</f>
        <v/>
      </c>
    </row>
    <row r="417" spans="3:3" x14ac:dyDescent="0.15">
      <c r="C417" t="str">
        <f>TRIM(MID(SUBSTITUTE($B$1,",",REPT(" ",LEN($B$1))),((ROWS($B$1:$B417)-1)*LEN($B$1))+1,LEN($B$1)))</f>
        <v/>
      </c>
    </row>
    <row r="418" spans="3:3" x14ac:dyDescent="0.15">
      <c r="C418" t="str">
        <f>TRIM(MID(SUBSTITUTE($B$1,",",REPT(" ",LEN($B$1))),((ROWS($B$1:$B418)-1)*LEN($B$1))+1,LEN($B$1)))</f>
        <v/>
      </c>
    </row>
    <row r="419" spans="3:3" x14ac:dyDescent="0.15">
      <c r="C419" t="str">
        <f>TRIM(MID(SUBSTITUTE($B$1,",",REPT(" ",LEN($B$1))),((ROWS($B$1:$B419)-1)*LEN($B$1))+1,LEN($B$1)))</f>
        <v/>
      </c>
    </row>
    <row r="420" spans="3:3" x14ac:dyDescent="0.15">
      <c r="C420" t="str">
        <f>TRIM(MID(SUBSTITUTE($B$1,",",REPT(" ",LEN($B$1))),((ROWS($B$1:$B420)-1)*LEN($B$1))+1,LEN($B$1)))</f>
        <v/>
      </c>
    </row>
    <row r="421" spans="3:3" x14ac:dyDescent="0.15">
      <c r="C421" t="str">
        <f>TRIM(MID(SUBSTITUTE($B$1,",",REPT(" ",LEN($B$1))),((ROWS($B$1:$B421)-1)*LEN($B$1))+1,LEN($B$1)))</f>
        <v/>
      </c>
    </row>
    <row r="422" spans="3:3" x14ac:dyDescent="0.15">
      <c r="C422" t="str">
        <f>TRIM(MID(SUBSTITUTE($B$1,",",REPT(" ",LEN($B$1))),((ROWS($B$1:$B422)-1)*LEN($B$1))+1,LEN($B$1)))</f>
        <v/>
      </c>
    </row>
    <row r="423" spans="3:3" x14ac:dyDescent="0.15">
      <c r="C423" t="str">
        <f>TRIM(MID(SUBSTITUTE($B$1,",",REPT(" ",LEN($B$1))),((ROWS($B$1:$B423)-1)*LEN($B$1))+1,LEN($B$1)))</f>
        <v/>
      </c>
    </row>
    <row r="424" spans="3:3" x14ac:dyDescent="0.15">
      <c r="C424" t="str">
        <f>TRIM(MID(SUBSTITUTE($B$1,",",REPT(" ",LEN($B$1))),((ROWS($B$1:$B424)-1)*LEN($B$1))+1,LEN($B$1)))</f>
        <v/>
      </c>
    </row>
    <row r="425" spans="3:3" x14ac:dyDescent="0.15">
      <c r="C425" t="str">
        <f>TRIM(MID(SUBSTITUTE($B$1,",",REPT(" ",LEN($B$1))),((ROWS($B$1:$B425)-1)*LEN($B$1))+1,LEN($B$1)))</f>
        <v/>
      </c>
    </row>
    <row r="426" spans="3:3" x14ac:dyDescent="0.15">
      <c r="C426" t="str">
        <f>TRIM(MID(SUBSTITUTE($B$1,",",REPT(" ",LEN($B$1))),((ROWS($B$1:$B426)-1)*LEN($B$1))+1,LEN($B$1)))</f>
        <v/>
      </c>
    </row>
    <row r="427" spans="3:3" x14ac:dyDescent="0.15">
      <c r="C427" t="str">
        <f>TRIM(MID(SUBSTITUTE($B$1,",",REPT(" ",LEN($B$1))),((ROWS($B$1:$B427)-1)*LEN($B$1))+1,LEN($B$1)))</f>
        <v/>
      </c>
    </row>
    <row r="428" spans="3:3" x14ac:dyDescent="0.15">
      <c r="C428" t="str">
        <f>TRIM(MID(SUBSTITUTE($B$1,",",REPT(" ",LEN($B$1))),((ROWS($B$1:$B428)-1)*LEN($B$1))+1,LEN($B$1)))</f>
        <v/>
      </c>
    </row>
    <row r="429" spans="3:3" x14ac:dyDescent="0.15">
      <c r="C429" t="str">
        <f>TRIM(MID(SUBSTITUTE($B$1,",",REPT(" ",LEN($B$1))),((ROWS($B$1:$B429)-1)*LEN($B$1))+1,LEN($B$1)))</f>
        <v/>
      </c>
    </row>
    <row r="430" spans="3:3" x14ac:dyDescent="0.15">
      <c r="C430" t="str">
        <f>TRIM(MID(SUBSTITUTE($B$1,",",REPT(" ",LEN($B$1))),((ROWS($B$1:$B430)-1)*LEN($B$1))+1,LEN($B$1)))</f>
        <v/>
      </c>
    </row>
    <row r="431" spans="3:3" x14ac:dyDescent="0.15">
      <c r="C431" t="str">
        <f>TRIM(MID(SUBSTITUTE($B$1,",",REPT(" ",LEN($B$1))),((ROWS($B$1:$B431)-1)*LEN($B$1))+1,LEN($B$1)))</f>
        <v/>
      </c>
    </row>
    <row r="432" spans="3:3" x14ac:dyDescent="0.15">
      <c r="C432" t="str">
        <f>TRIM(MID(SUBSTITUTE($B$1,",",REPT(" ",LEN($B$1))),((ROWS($B$1:$B432)-1)*LEN($B$1))+1,LEN($B$1)))</f>
        <v/>
      </c>
    </row>
    <row r="433" spans="3:3" x14ac:dyDescent="0.15">
      <c r="C433" t="str">
        <f>TRIM(MID(SUBSTITUTE($B$1,",",REPT(" ",LEN($B$1))),((ROWS($B$1:$B433)-1)*LEN($B$1))+1,LEN($B$1)))</f>
        <v/>
      </c>
    </row>
    <row r="434" spans="3:3" x14ac:dyDescent="0.15">
      <c r="C434" t="str">
        <f>TRIM(MID(SUBSTITUTE($B$1,",",REPT(" ",LEN($B$1))),((ROWS($B$1:$B434)-1)*LEN($B$1))+1,LEN($B$1)))</f>
        <v/>
      </c>
    </row>
    <row r="435" spans="3:3" x14ac:dyDescent="0.15">
      <c r="C435" t="str">
        <f>TRIM(MID(SUBSTITUTE($B$1,",",REPT(" ",LEN($B$1))),((ROWS($B$1:$B435)-1)*LEN($B$1))+1,LEN($B$1)))</f>
        <v/>
      </c>
    </row>
    <row r="436" spans="3:3" x14ac:dyDescent="0.15">
      <c r="C436" t="str">
        <f>TRIM(MID(SUBSTITUTE($B$1,",",REPT(" ",LEN($B$1))),((ROWS($B$1:$B436)-1)*LEN($B$1))+1,LEN($B$1)))</f>
        <v/>
      </c>
    </row>
    <row r="437" spans="3:3" x14ac:dyDescent="0.15">
      <c r="C437" t="str">
        <f>TRIM(MID(SUBSTITUTE($B$1,",",REPT(" ",LEN($B$1))),((ROWS($B$1:$B437)-1)*LEN($B$1))+1,LEN($B$1)))</f>
        <v/>
      </c>
    </row>
    <row r="438" spans="3:3" x14ac:dyDescent="0.15">
      <c r="C438" t="str">
        <f>TRIM(MID(SUBSTITUTE($B$1,",",REPT(" ",LEN($B$1))),((ROWS($B$1:$B438)-1)*LEN($B$1))+1,LEN($B$1)))</f>
        <v/>
      </c>
    </row>
    <row r="439" spans="3:3" x14ac:dyDescent="0.15">
      <c r="C439" t="str">
        <f>TRIM(MID(SUBSTITUTE($B$1,",",REPT(" ",LEN($B$1))),((ROWS($B$1:$B439)-1)*LEN($B$1))+1,LEN($B$1)))</f>
        <v/>
      </c>
    </row>
    <row r="440" spans="3:3" x14ac:dyDescent="0.15">
      <c r="C440" t="str">
        <f>TRIM(MID(SUBSTITUTE($B$1,",",REPT(" ",LEN($B$1))),((ROWS($B$1:$B440)-1)*LEN($B$1))+1,LEN($B$1)))</f>
        <v/>
      </c>
    </row>
    <row r="441" spans="3:3" x14ac:dyDescent="0.15">
      <c r="C441" t="str">
        <f>TRIM(MID(SUBSTITUTE($B$1,",",REPT(" ",LEN($B$1))),((ROWS($B$1:$B441)-1)*LEN($B$1))+1,LEN($B$1)))</f>
        <v/>
      </c>
    </row>
    <row r="442" spans="3:3" x14ac:dyDescent="0.15">
      <c r="C442" t="str">
        <f>TRIM(MID(SUBSTITUTE($B$1,",",REPT(" ",LEN($B$1))),((ROWS($B$1:$B442)-1)*LEN($B$1))+1,LEN($B$1)))</f>
        <v/>
      </c>
    </row>
    <row r="443" spans="3:3" x14ac:dyDescent="0.15">
      <c r="C443" t="str">
        <f>TRIM(MID(SUBSTITUTE($B$1,",",REPT(" ",LEN($B$1))),((ROWS($B$1:$B443)-1)*LEN($B$1))+1,LEN($B$1)))</f>
        <v/>
      </c>
    </row>
    <row r="444" spans="3:3" x14ac:dyDescent="0.15">
      <c r="C444" t="str">
        <f>TRIM(MID(SUBSTITUTE($B$1,",",REPT(" ",LEN($B$1))),((ROWS($B$1:$B444)-1)*LEN($B$1))+1,LEN($B$1)))</f>
        <v/>
      </c>
    </row>
    <row r="445" spans="3:3" x14ac:dyDescent="0.15">
      <c r="C445" t="str">
        <f>TRIM(MID(SUBSTITUTE($B$1,",",REPT(" ",LEN($B$1))),((ROWS($B$1:$B445)-1)*LEN($B$1))+1,LEN($B$1)))</f>
        <v/>
      </c>
    </row>
    <row r="446" spans="3:3" x14ac:dyDescent="0.15">
      <c r="C446" t="str">
        <f>TRIM(MID(SUBSTITUTE($B$1,",",REPT(" ",LEN($B$1))),((ROWS($B$1:$B446)-1)*LEN($B$1))+1,LEN($B$1)))</f>
        <v/>
      </c>
    </row>
    <row r="447" spans="3:3" x14ac:dyDescent="0.15">
      <c r="C447" t="str">
        <f>TRIM(MID(SUBSTITUTE($B$1,",",REPT(" ",LEN($B$1))),((ROWS($B$1:$B447)-1)*LEN($B$1))+1,LEN($B$1)))</f>
        <v/>
      </c>
    </row>
    <row r="448" spans="3:3" x14ac:dyDescent="0.15">
      <c r="C448" t="str">
        <f>TRIM(MID(SUBSTITUTE($B$1,",",REPT(" ",LEN($B$1))),((ROWS($B$1:$B448)-1)*LEN($B$1))+1,LEN($B$1)))</f>
        <v/>
      </c>
    </row>
    <row r="449" spans="3:3" x14ac:dyDescent="0.15">
      <c r="C449" t="str">
        <f>TRIM(MID(SUBSTITUTE($B$1,",",REPT(" ",LEN($B$1))),((ROWS($B$1:$B449)-1)*LEN($B$1))+1,LEN($B$1)))</f>
        <v/>
      </c>
    </row>
    <row r="450" spans="3:3" x14ac:dyDescent="0.15">
      <c r="C450" t="str">
        <f>TRIM(MID(SUBSTITUTE($B$1,",",REPT(" ",LEN($B$1))),((ROWS($B$1:$B450)-1)*LEN($B$1))+1,LEN($B$1)))</f>
        <v/>
      </c>
    </row>
    <row r="451" spans="3:3" x14ac:dyDescent="0.15">
      <c r="C451" t="str">
        <f>TRIM(MID(SUBSTITUTE($B$1,",",REPT(" ",LEN($B$1))),((ROWS($B$1:$B451)-1)*LEN($B$1))+1,LEN($B$1)))</f>
        <v/>
      </c>
    </row>
    <row r="452" spans="3:3" x14ac:dyDescent="0.15">
      <c r="C452" t="str">
        <f>TRIM(MID(SUBSTITUTE($B$1,",",REPT(" ",LEN($B$1))),((ROWS($B$1:$B452)-1)*LEN($B$1))+1,LEN($B$1)))</f>
        <v/>
      </c>
    </row>
    <row r="453" spans="3:3" x14ac:dyDescent="0.15">
      <c r="C453" t="str">
        <f>TRIM(MID(SUBSTITUTE($B$1,",",REPT(" ",LEN($B$1))),((ROWS($B$1:$B453)-1)*LEN($B$1))+1,LEN($B$1)))</f>
        <v/>
      </c>
    </row>
    <row r="454" spans="3:3" x14ac:dyDescent="0.15">
      <c r="C454" t="str">
        <f>TRIM(MID(SUBSTITUTE($B$1,",",REPT(" ",LEN($B$1))),((ROWS($B$1:$B454)-1)*LEN($B$1))+1,LEN($B$1)))</f>
        <v/>
      </c>
    </row>
    <row r="455" spans="3:3" x14ac:dyDescent="0.15">
      <c r="C455" t="str">
        <f>TRIM(MID(SUBSTITUTE($B$1,",",REPT(" ",LEN($B$1))),((ROWS($B$1:$B455)-1)*LEN($B$1))+1,LEN($B$1)))</f>
        <v/>
      </c>
    </row>
    <row r="456" spans="3:3" x14ac:dyDescent="0.15">
      <c r="C456" t="str">
        <f>TRIM(MID(SUBSTITUTE($B$1,",",REPT(" ",LEN($B$1))),((ROWS($B$1:$B456)-1)*LEN($B$1))+1,LEN($B$1)))</f>
        <v/>
      </c>
    </row>
    <row r="457" spans="3:3" x14ac:dyDescent="0.15">
      <c r="C457" t="str">
        <f>TRIM(MID(SUBSTITUTE($B$1,",",REPT(" ",LEN($B$1))),((ROWS($B$1:$B457)-1)*LEN($B$1))+1,LEN($B$1)))</f>
        <v/>
      </c>
    </row>
    <row r="458" spans="3:3" x14ac:dyDescent="0.15">
      <c r="C458" t="str">
        <f>TRIM(MID(SUBSTITUTE($B$1,",",REPT(" ",LEN($B$1))),((ROWS($B$1:$B458)-1)*LEN($B$1))+1,LEN($B$1)))</f>
        <v/>
      </c>
    </row>
    <row r="459" spans="3:3" x14ac:dyDescent="0.15">
      <c r="C459" t="str">
        <f>TRIM(MID(SUBSTITUTE($B$1,",",REPT(" ",LEN($B$1))),((ROWS($B$1:$B459)-1)*LEN($B$1))+1,LEN($B$1)))</f>
        <v/>
      </c>
    </row>
    <row r="460" spans="3:3" x14ac:dyDescent="0.15">
      <c r="C460" t="str">
        <f>TRIM(MID(SUBSTITUTE($B$1,",",REPT(" ",LEN($B$1))),((ROWS($B$1:$B460)-1)*LEN($B$1))+1,LEN($B$1)))</f>
        <v/>
      </c>
    </row>
    <row r="461" spans="3:3" x14ac:dyDescent="0.15">
      <c r="C461" t="str">
        <f>TRIM(MID(SUBSTITUTE($B$1,",",REPT(" ",LEN($B$1))),((ROWS($B$1:$B461)-1)*LEN($B$1))+1,LEN($B$1)))</f>
        <v/>
      </c>
    </row>
    <row r="462" spans="3:3" x14ac:dyDescent="0.15">
      <c r="C462" t="str">
        <f>TRIM(MID(SUBSTITUTE($B$1,",",REPT(" ",LEN($B$1))),((ROWS($B$1:$B462)-1)*LEN($B$1))+1,LEN($B$1)))</f>
        <v/>
      </c>
    </row>
    <row r="463" spans="3:3" x14ac:dyDescent="0.15">
      <c r="C463" t="str">
        <f>TRIM(MID(SUBSTITUTE($B$1,",",REPT(" ",LEN($B$1))),((ROWS($B$1:$B463)-1)*LEN($B$1))+1,LEN($B$1)))</f>
        <v/>
      </c>
    </row>
    <row r="464" spans="3:3" x14ac:dyDescent="0.15">
      <c r="C464" t="str">
        <f>TRIM(MID(SUBSTITUTE($B$1,",",REPT(" ",LEN($B$1))),((ROWS($B$1:$B464)-1)*LEN($B$1))+1,LEN($B$1)))</f>
        <v/>
      </c>
    </row>
    <row r="465" spans="3:3" x14ac:dyDescent="0.15">
      <c r="C465" t="str">
        <f>TRIM(MID(SUBSTITUTE($B$1,",",REPT(" ",LEN($B$1))),((ROWS($B$1:$B465)-1)*LEN($B$1))+1,LEN($B$1)))</f>
        <v/>
      </c>
    </row>
    <row r="466" spans="3:3" x14ac:dyDescent="0.15">
      <c r="C466" t="str">
        <f>TRIM(MID(SUBSTITUTE($B$1,",",REPT(" ",LEN($B$1))),((ROWS($B$1:$B466)-1)*LEN($B$1))+1,LEN($B$1)))</f>
        <v/>
      </c>
    </row>
    <row r="467" spans="3:3" x14ac:dyDescent="0.15">
      <c r="C467" t="str">
        <f>TRIM(MID(SUBSTITUTE($B$1,",",REPT(" ",LEN($B$1))),((ROWS($B$1:$B467)-1)*LEN($B$1))+1,LEN($B$1)))</f>
        <v/>
      </c>
    </row>
    <row r="468" spans="3:3" x14ac:dyDescent="0.15">
      <c r="C468" t="str">
        <f>TRIM(MID(SUBSTITUTE($B$1,",",REPT(" ",LEN($B$1))),((ROWS($B$1:$B468)-1)*LEN($B$1))+1,LEN($B$1)))</f>
        <v/>
      </c>
    </row>
    <row r="469" spans="3:3" x14ac:dyDescent="0.15">
      <c r="C469" t="str">
        <f>TRIM(MID(SUBSTITUTE($B$1,",",REPT(" ",LEN($B$1))),((ROWS($B$1:$B469)-1)*LEN($B$1))+1,LEN($B$1)))</f>
        <v/>
      </c>
    </row>
    <row r="470" spans="3:3" x14ac:dyDescent="0.15">
      <c r="C470" t="str">
        <f>TRIM(MID(SUBSTITUTE($B$1,",",REPT(" ",LEN($B$1))),((ROWS($B$1:$B470)-1)*LEN($B$1))+1,LEN($B$1)))</f>
        <v/>
      </c>
    </row>
    <row r="471" spans="3:3" x14ac:dyDescent="0.15">
      <c r="C471" t="str">
        <f>TRIM(MID(SUBSTITUTE($B$1,",",REPT(" ",LEN($B$1))),((ROWS($B$1:$B471)-1)*LEN($B$1))+1,LEN($B$1)))</f>
        <v/>
      </c>
    </row>
    <row r="472" spans="3:3" x14ac:dyDescent="0.15">
      <c r="C472" t="str">
        <f>TRIM(MID(SUBSTITUTE($B$1,",",REPT(" ",LEN($B$1))),((ROWS($B$1:$B472)-1)*LEN($B$1))+1,LEN($B$1)))</f>
        <v/>
      </c>
    </row>
    <row r="473" spans="3:3" x14ac:dyDescent="0.15">
      <c r="C473" t="str">
        <f>TRIM(MID(SUBSTITUTE($B$1,",",REPT(" ",LEN($B$1))),((ROWS($B$1:$B473)-1)*LEN($B$1))+1,LEN($B$1)))</f>
        <v/>
      </c>
    </row>
    <row r="474" spans="3:3" x14ac:dyDescent="0.15">
      <c r="C474" t="str">
        <f>TRIM(MID(SUBSTITUTE($B$1,",",REPT(" ",LEN($B$1))),((ROWS($B$1:$B474)-1)*LEN($B$1))+1,LEN($B$1)))</f>
        <v/>
      </c>
    </row>
    <row r="475" spans="3:3" x14ac:dyDescent="0.15">
      <c r="C475" t="str">
        <f>TRIM(MID(SUBSTITUTE($B$1,",",REPT(" ",LEN($B$1))),((ROWS($B$1:$B475)-1)*LEN($B$1))+1,LEN($B$1)))</f>
        <v/>
      </c>
    </row>
    <row r="476" spans="3:3" x14ac:dyDescent="0.15">
      <c r="C476" t="str">
        <f>TRIM(MID(SUBSTITUTE($B$1,",",REPT(" ",LEN($B$1))),((ROWS($B$1:$B476)-1)*LEN($B$1))+1,LEN($B$1)))</f>
        <v/>
      </c>
    </row>
    <row r="477" spans="3:3" x14ac:dyDescent="0.15">
      <c r="C477" t="str">
        <f>TRIM(MID(SUBSTITUTE($B$1,",",REPT(" ",LEN($B$1))),((ROWS($B$1:$B477)-1)*LEN($B$1))+1,LEN($B$1)))</f>
        <v/>
      </c>
    </row>
    <row r="478" spans="3:3" x14ac:dyDescent="0.15">
      <c r="C478" t="str">
        <f>TRIM(MID(SUBSTITUTE($B$1,",",REPT(" ",LEN($B$1))),((ROWS($B$1:$B478)-1)*LEN($B$1))+1,LEN($B$1)))</f>
        <v/>
      </c>
    </row>
    <row r="479" spans="3:3" x14ac:dyDescent="0.15">
      <c r="C479" t="str">
        <f>TRIM(MID(SUBSTITUTE($B$1,",",REPT(" ",LEN($B$1))),((ROWS($B$1:$B479)-1)*LEN($B$1))+1,LEN($B$1)))</f>
        <v/>
      </c>
    </row>
    <row r="480" spans="3:3" x14ac:dyDescent="0.15">
      <c r="C480" t="str">
        <f>TRIM(MID(SUBSTITUTE($B$1,",",REPT(" ",LEN($B$1))),((ROWS($B$1:$B480)-1)*LEN($B$1))+1,LEN($B$1)))</f>
        <v/>
      </c>
    </row>
    <row r="481" spans="3:3" x14ac:dyDescent="0.15">
      <c r="C481" t="str">
        <f>TRIM(MID(SUBSTITUTE($B$1,",",REPT(" ",LEN($B$1))),((ROWS($B$1:$B481)-1)*LEN($B$1))+1,LEN($B$1)))</f>
        <v/>
      </c>
    </row>
    <row r="482" spans="3:3" x14ac:dyDescent="0.15">
      <c r="C482" t="str">
        <f>TRIM(MID(SUBSTITUTE($B$1,",",REPT(" ",LEN($B$1))),((ROWS($B$1:$B482)-1)*LEN($B$1))+1,LEN($B$1)))</f>
        <v/>
      </c>
    </row>
    <row r="483" spans="3:3" x14ac:dyDescent="0.15">
      <c r="C483" t="str">
        <f>TRIM(MID(SUBSTITUTE($B$1,",",REPT(" ",LEN($B$1))),((ROWS($B$1:$B483)-1)*LEN($B$1))+1,LEN($B$1)))</f>
        <v/>
      </c>
    </row>
    <row r="484" spans="3:3" x14ac:dyDescent="0.15">
      <c r="C484" t="str">
        <f>TRIM(MID(SUBSTITUTE($B$1,",",REPT(" ",LEN($B$1))),((ROWS($B$1:$B484)-1)*LEN($B$1))+1,LEN($B$1)))</f>
        <v/>
      </c>
    </row>
    <row r="485" spans="3:3" x14ac:dyDescent="0.15">
      <c r="C485" t="str">
        <f>TRIM(MID(SUBSTITUTE($B$1,",",REPT(" ",LEN($B$1))),((ROWS($B$1:$B485)-1)*LEN($B$1))+1,LEN($B$1)))</f>
        <v/>
      </c>
    </row>
    <row r="486" spans="3:3" x14ac:dyDescent="0.15">
      <c r="C486" t="str">
        <f>TRIM(MID(SUBSTITUTE($B$1,",",REPT(" ",LEN($B$1))),((ROWS($B$1:$B486)-1)*LEN($B$1))+1,LEN($B$1)))</f>
        <v/>
      </c>
    </row>
    <row r="487" spans="3:3" x14ac:dyDescent="0.15">
      <c r="C487" t="str">
        <f>TRIM(MID(SUBSTITUTE($B$1,",",REPT(" ",LEN($B$1))),((ROWS($B$1:$B487)-1)*LEN($B$1))+1,LEN($B$1)))</f>
        <v/>
      </c>
    </row>
    <row r="488" spans="3:3" x14ac:dyDescent="0.15">
      <c r="C488" t="str">
        <f>TRIM(MID(SUBSTITUTE($B$1,",",REPT(" ",LEN($B$1))),((ROWS($B$1:$B488)-1)*LEN($B$1))+1,LEN($B$1)))</f>
        <v/>
      </c>
    </row>
    <row r="489" spans="3:3" x14ac:dyDescent="0.15">
      <c r="C489" t="str">
        <f>TRIM(MID(SUBSTITUTE($B$1,",",REPT(" ",LEN($B$1))),((ROWS($B$1:$B489)-1)*LEN($B$1))+1,LEN($B$1)))</f>
        <v/>
      </c>
    </row>
    <row r="490" spans="3:3" x14ac:dyDescent="0.15">
      <c r="C490" t="str">
        <f>TRIM(MID(SUBSTITUTE($B$1,",",REPT(" ",LEN($B$1))),((ROWS($B$1:$B490)-1)*LEN($B$1))+1,LEN($B$1)))</f>
        <v/>
      </c>
    </row>
    <row r="491" spans="3:3" x14ac:dyDescent="0.15">
      <c r="C491" t="str">
        <f>TRIM(MID(SUBSTITUTE($B$1,",",REPT(" ",LEN($B$1))),((ROWS($B$1:$B491)-1)*LEN($B$1))+1,LEN($B$1)))</f>
        <v/>
      </c>
    </row>
    <row r="492" spans="3:3" x14ac:dyDescent="0.15">
      <c r="C492" t="str">
        <f>TRIM(MID(SUBSTITUTE($B$1,",",REPT(" ",LEN($B$1))),((ROWS($B$1:$B492)-1)*LEN($B$1))+1,LEN($B$1)))</f>
        <v/>
      </c>
    </row>
    <row r="493" spans="3:3" x14ac:dyDescent="0.15">
      <c r="C493" t="str">
        <f>TRIM(MID(SUBSTITUTE($B$1,",",REPT(" ",LEN($B$1))),((ROWS($B$1:$B493)-1)*LEN($B$1))+1,LEN($B$1)))</f>
        <v/>
      </c>
    </row>
    <row r="494" spans="3:3" x14ac:dyDescent="0.15">
      <c r="C494" t="str">
        <f>TRIM(MID(SUBSTITUTE($B$1,",",REPT(" ",LEN($B$1))),((ROWS($B$1:$B494)-1)*LEN($B$1))+1,LEN($B$1)))</f>
        <v/>
      </c>
    </row>
    <row r="495" spans="3:3" x14ac:dyDescent="0.15">
      <c r="C495" t="str">
        <f>TRIM(MID(SUBSTITUTE($B$1,",",REPT(" ",LEN($B$1))),((ROWS($B$1:$B495)-1)*LEN($B$1))+1,LEN($B$1)))</f>
        <v/>
      </c>
    </row>
    <row r="496" spans="3:3" x14ac:dyDescent="0.15">
      <c r="C496" t="str">
        <f>TRIM(MID(SUBSTITUTE($B$1,",",REPT(" ",LEN($B$1))),((ROWS($B$1:$B496)-1)*LEN($B$1))+1,LEN($B$1)))</f>
        <v/>
      </c>
    </row>
    <row r="497" spans="3:3" x14ac:dyDescent="0.15">
      <c r="C497" t="str">
        <f>TRIM(MID(SUBSTITUTE($B$1,",",REPT(" ",LEN($B$1))),((ROWS($B$1:$B497)-1)*LEN($B$1))+1,LEN($B$1)))</f>
        <v/>
      </c>
    </row>
    <row r="498" spans="3:3" x14ac:dyDescent="0.15">
      <c r="C498" t="str">
        <f>TRIM(MID(SUBSTITUTE($B$1,",",REPT(" ",LEN($B$1))),((ROWS($B$1:$B498)-1)*LEN($B$1))+1,LEN($B$1)))</f>
        <v/>
      </c>
    </row>
    <row r="499" spans="3:3" x14ac:dyDescent="0.15">
      <c r="C499" t="str">
        <f>TRIM(MID(SUBSTITUTE($B$1,",",REPT(" ",LEN($B$1))),((ROWS($B$1:$B499)-1)*LEN($B$1))+1,LEN($B$1)))</f>
        <v/>
      </c>
    </row>
    <row r="500" spans="3:3" x14ac:dyDescent="0.15">
      <c r="C500" t="str">
        <f>TRIM(MID(SUBSTITUTE($B$1,",",REPT(" ",LEN($B$1))),((ROWS($B$1:$B500)-1)*LEN($B$1))+1,LEN($B$1)))</f>
        <v/>
      </c>
    </row>
    <row r="501" spans="3:3" x14ac:dyDescent="0.15">
      <c r="C501" t="str">
        <f>TRIM(MID(SUBSTITUTE($B$1,",",REPT(" ",LEN($B$1))),((ROWS($B$1:$B501)-1)*LEN($B$1))+1,LEN($B$1)))</f>
        <v/>
      </c>
    </row>
    <row r="502" spans="3:3" x14ac:dyDescent="0.15">
      <c r="C502" t="str">
        <f>TRIM(MID(SUBSTITUTE($B$1,",",REPT(" ",LEN($B$1))),((ROWS($B$1:$B502)-1)*LEN($B$1))+1,LEN($B$1)))</f>
        <v/>
      </c>
    </row>
    <row r="503" spans="3:3" x14ac:dyDescent="0.15">
      <c r="C503" t="str">
        <f>TRIM(MID(SUBSTITUTE($B$1,",",REPT(" ",LEN($B$1))),((ROWS($B$1:$B503)-1)*LEN($B$1))+1,LEN($B$1)))</f>
        <v/>
      </c>
    </row>
    <row r="504" spans="3:3" x14ac:dyDescent="0.15">
      <c r="C504" t="str">
        <f>TRIM(MID(SUBSTITUTE($B$1,",",REPT(" ",LEN($B$1))),((ROWS($B$1:$B504)-1)*LEN($B$1))+1,LEN($B$1)))</f>
        <v/>
      </c>
    </row>
    <row r="505" spans="3:3" x14ac:dyDescent="0.15">
      <c r="C505" t="str">
        <f>TRIM(MID(SUBSTITUTE($B$1,",",REPT(" ",LEN($B$1))),((ROWS($B$1:$B505)-1)*LEN($B$1))+1,LEN($B$1)))</f>
        <v/>
      </c>
    </row>
    <row r="506" spans="3:3" x14ac:dyDescent="0.15">
      <c r="C506" t="str">
        <f>TRIM(MID(SUBSTITUTE($B$1,",",REPT(" ",LEN($B$1))),((ROWS($B$1:$B506)-1)*LEN($B$1))+1,LEN($B$1)))</f>
        <v/>
      </c>
    </row>
    <row r="507" spans="3:3" x14ac:dyDescent="0.15">
      <c r="C507" t="str">
        <f>TRIM(MID(SUBSTITUTE($B$1,",",REPT(" ",LEN($B$1))),((ROWS($B$1:$B507)-1)*LEN($B$1))+1,LEN($B$1)))</f>
        <v/>
      </c>
    </row>
    <row r="508" spans="3:3" x14ac:dyDescent="0.15">
      <c r="C508" t="str">
        <f>TRIM(MID(SUBSTITUTE($B$1,",",REPT(" ",LEN($B$1))),((ROWS($B$1:$B508)-1)*LEN($B$1))+1,LEN($B$1)))</f>
        <v/>
      </c>
    </row>
    <row r="509" spans="3:3" x14ac:dyDescent="0.15">
      <c r="C509" t="str">
        <f>TRIM(MID(SUBSTITUTE($B$1,",",REPT(" ",LEN($B$1))),((ROWS($B$1:$B509)-1)*LEN($B$1))+1,LEN($B$1)))</f>
        <v/>
      </c>
    </row>
    <row r="510" spans="3:3" x14ac:dyDescent="0.15">
      <c r="C510" t="str">
        <f>TRIM(MID(SUBSTITUTE($B$1,",",REPT(" ",LEN($B$1))),((ROWS($B$1:$B510)-1)*LEN($B$1))+1,LEN($B$1)))</f>
        <v/>
      </c>
    </row>
    <row r="511" spans="3:3" x14ac:dyDescent="0.15">
      <c r="C511" t="str">
        <f>TRIM(MID(SUBSTITUTE($B$1,",",REPT(" ",LEN($B$1))),((ROWS($B$1:$B511)-1)*LEN($B$1))+1,LEN($B$1)))</f>
        <v/>
      </c>
    </row>
    <row r="512" spans="3:3" x14ac:dyDescent="0.15">
      <c r="C512" t="str">
        <f>TRIM(MID(SUBSTITUTE($B$1,",",REPT(" ",LEN($B$1))),((ROWS($B$1:$B512)-1)*LEN($B$1))+1,LEN($B$1)))</f>
        <v/>
      </c>
    </row>
    <row r="513" spans="3:3" x14ac:dyDescent="0.15">
      <c r="C513" t="str">
        <f>TRIM(MID(SUBSTITUTE($B$1,",",REPT(" ",LEN($B$1))),((ROWS($B$1:$B513)-1)*LEN($B$1))+1,LEN($B$1)))</f>
        <v/>
      </c>
    </row>
    <row r="514" spans="3:3" x14ac:dyDescent="0.15">
      <c r="C514" t="str">
        <f>TRIM(MID(SUBSTITUTE($B$1,",",REPT(" ",LEN($B$1))),((ROWS($B$1:$B514)-1)*LEN($B$1))+1,LEN($B$1)))</f>
        <v/>
      </c>
    </row>
    <row r="515" spans="3:3" x14ac:dyDescent="0.15">
      <c r="C515" t="str">
        <f>TRIM(MID(SUBSTITUTE($B$1,",",REPT(" ",LEN($B$1))),((ROWS($B$1:$B515)-1)*LEN($B$1))+1,LEN($B$1)))</f>
        <v/>
      </c>
    </row>
    <row r="516" spans="3:3" x14ac:dyDescent="0.15">
      <c r="C516" t="str">
        <f>TRIM(MID(SUBSTITUTE($B$1,",",REPT(" ",LEN($B$1))),((ROWS($B$1:$B516)-1)*LEN($B$1))+1,LEN($B$1)))</f>
        <v/>
      </c>
    </row>
    <row r="517" spans="3:3" x14ac:dyDescent="0.15">
      <c r="C517" t="str">
        <f>TRIM(MID(SUBSTITUTE($B$1,",",REPT(" ",LEN($B$1))),((ROWS($B$1:$B517)-1)*LEN($B$1))+1,LEN($B$1)))</f>
        <v/>
      </c>
    </row>
    <row r="518" spans="3:3" x14ac:dyDescent="0.15">
      <c r="C518" t="str">
        <f>TRIM(MID(SUBSTITUTE($B$1,",",REPT(" ",LEN($B$1))),((ROWS($B$1:$B518)-1)*LEN($B$1))+1,LEN($B$1)))</f>
        <v/>
      </c>
    </row>
    <row r="519" spans="3:3" x14ac:dyDescent="0.15">
      <c r="C519" t="str">
        <f>TRIM(MID(SUBSTITUTE($B$1,",",REPT(" ",LEN($B$1))),((ROWS($B$1:$B519)-1)*LEN($B$1))+1,LEN($B$1)))</f>
        <v/>
      </c>
    </row>
    <row r="520" spans="3:3" x14ac:dyDescent="0.15">
      <c r="C520" t="str">
        <f>TRIM(MID(SUBSTITUTE($B$1,",",REPT(" ",LEN($B$1))),((ROWS($B$1:$B520)-1)*LEN($B$1))+1,LEN($B$1)))</f>
        <v/>
      </c>
    </row>
    <row r="521" spans="3:3" x14ac:dyDescent="0.15">
      <c r="C521" t="str">
        <f>TRIM(MID(SUBSTITUTE($B$1,",",REPT(" ",LEN($B$1))),((ROWS($B$1:$B521)-1)*LEN($B$1))+1,LEN($B$1)))</f>
        <v/>
      </c>
    </row>
    <row r="522" spans="3:3" x14ac:dyDescent="0.15">
      <c r="C522" t="str">
        <f>TRIM(MID(SUBSTITUTE($B$1,",",REPT(" ",LEN($B$1))),((ROWS($B$1:$B522)-1)*LEN($B$1))+1,LEN($B$1)))</f>
        <v/>
      </c>
    </row>
    <row r="523" spans="3:3" x14ac:dyDescent="0.15">
      <c r="C523" t="str">
        <f>TRIM(MID(SUBSTITUTE($B$1,",",REPT(" ",LEN($B$1))),((ROWS($B$1:$B523)-1)*LEN($B$1))+1,LEN($B$1)))</f>
        <v/>
      </c>
    </row>
    <row r="524" spans="3:3" x14ac:dyDescent="0.15">
      <c r="C524" t="str">
        <f>TRIM(MID(SUBSTITUTE($B$1,",",REPT(" ",LEN($B$1))),((ROWS($B$1:$B524)-1)*LEN($B$1))+1,LEN($B$1)))</f>
        <v/>
      </c>
    </row>
    <row r="525" spans="3:3" x14ac:dyDescent="0.15">
      <c r="C525" t="str">
        <f>TRIM(MID(SUBSTITUTE($B$1,",",REPT(" ",LEN($B$1))),((ROWS($B$1:$B525)-1)*LEN($B$1))+1,LEN($B$1)))</f>
        <v/>
      </c>
    </row>
    <row r="526" spans="3:3" x14ac:dyDescent="0.15">
      <c r="C526" t="str">
        <f>TRIM(MID(SUBSTITUTE($B$1,",",REPT(" ",LEN($B$1))),((ROWS($B$1:$B526)-1)*LEN($B$1))+1,LEN($B$1)))</f>
        <v/>
      </c>
    </row>
    <row r="527" spans="3:3" x14ac:dyDescent="0.15">
      <c r="C527" t="str">
        <f>TRIM(MID(SUBSTITUTE($B$1,",",REPT(" ",LEN($B$1))),((ROWS($B$1:$B527)-1)*LEN($B$1))+1,LEN($B$1)))</f>
        <v/>
      </c>
    </row>
    <row r="528" spans="3:3" x14ac:dyDescent="0.15">
      <c r="C528" t="str">
        <f>TRIM(MID(SUBSTITUTE($B$1,",",REPT(" ",LEN($B$1))),((ROWS($B$1:$B528)-1)*LEN($B$1))+1,LEN($B$1)))</f>
        <v/>
      </c>
    </row>
    <row r="529" spans="3:3" x14ac:dyDescent="0.15">
      <c r="C529" t="str">
        <f>TRIM(MID(SUBSTITUTE($B$1,",",REPT(" ",LEN($B$1))),((ROWS($B$1:$B529)-1)*LEN($B$1))+1,LEN($B$1)))</f>
        <v/>
      </c>
    </row>
    <row r="530" spans="3:3" x14ac:dyDescent="0.15">
      <c r="C530" t="str">
        <f>TRIM(MID(SUBSTITUTE($B$1,",",REPT(" ",LEN($B$1))),((ROWS($B$1:$B530)-1)*LEN($B$1))+1,LEN($B$1)))</f>
        <v/>
      </c>
    </row>
    <row r="531" spans="3:3" x14ac:dyDescent="0.15">
      <c r="C531" t="str">
        <f>TRIM(MID(SUBSTITUTE($B$1,",",REPT(" ",LEN($B$1))),((ROWS($B$1:$B531)-1)*LEN($B$1))+1,LEN($B$1)))</f>
        <v/>
      </c>
    </row>
    <row r="532" spans="3:3" x14ac:dyDescent="0.15">
      <c r="C532" t="str">
        <f>TRIM(MID(SUBSTITUTE($B$1,",",REPT(" ",LEN($B$1))),((ROWS($B$1:$B532)-1)*LEN($B$1))+1,LEN($B$1)))</f>
        <v/>
      </c>
    </row>
    <row r="533" spans="3:3" x14ac:dyDescent="0.15">
      <c r="C533" t="str">
        <f>TRIM(MID(SUBSTITUTE($B$1,",",REPT(" ",LEN($B$1))),((ROWS($B$1:$B533)-1)*LEN($B$1))+1,LEN($B$1)))</f>
        <v/>
      </c>
    </row>
    <row r="534" spans="3:3" x14ac:dyDescent="0.15">
      <c r="C534" t="str">
        <f>TRIM(MID(SUBSTITUTE($B$1,",",REPT(" ",LEN($B$1))),((ROWS($B$1:$B534)-1)*LEN($B$1))+1,LEN($B$1)))</f>
        <v/>
      </c>
    </row>
    <row r="535" spans="3:3" x14ac:dyDescent="0.15">
      <c r="C535" t="str">
        <f>TRIM(MID(SUBSTITUTE($B$1,",",REPT(" ",LEN($B$1))),((ROWS($B$1:$B535)-1)*LEN($B$1))+1,LEN($B$1)))</f>
        <v/>
      </c>
    </row>
    <row r="536" spans="3:3" x14ac:dyDescent="0.15">
      <c r="C536" t="str">
        <f>TRIM(MID(SUBSTITUTE($B$1,",",REPT(" ",LEN($B$1))),((ROWS($B$1:$B536)-1)*LEN($B$1))+1,LEN($B$1)))</f>
        <v/>
      </c>
    </row>
    <row r="537" spans="3:3" x14ac:dyDescent="0.15">
      <c r="C537" t="str">
        <f>TRIM(MID(SUBSTITUTE($B$1,",",REPT(" ",LEN($B$1))),((ROWS($B$1:$B537)-1)*LEN($B$1))+1,LEN($B$1)))</f>
        <v/>
      </c>
    </row>
    <row r="538" spans="3:3" x14ac:dyDescent="0.15">
      <c r="C538" t="str">
        <f>TRIM(MID(SUBSTITUTE($B$1,",",REPT(" ",LEN($B$1))),((ROWS($B$1:$B538)-1)*LEN($B$1))+1,LEN($B$1)))</f>
        <v/>
      </c>
    </row>
    <row r="539" spans="3:3" x14ac:dyDescent="0.15">
      <c r="C539" t="str">
        <f>TRIM(MID(SUBSTITUTE($B$1,",",REPT(" ",LEN($B$1))),((ROWS($B$1:$B539)-1)*LEN($B$1))+1,LEN($B$1)))</f>
        <v/>
      </c>
    </row>
    <row r="540" spans="3:3" x14ac:dyDescent="0.15">
      <c r="C540" t="str">
        <f>TRIM(MID(SUBSTITUTE($B$1,",",REPT(" ",LEN($B$1))),((ROWS($B$1:$B540)-1)*LEN($B$1))+1,LEN($B$1)))</f>
        <v/>
      </c>
    </row>
    <row r="541" spans="3:3" x14ac:dyDescent="0.15">
      <c r="C541" t="str">
        <f>TRIM(MID(SUBSTITUTE($B$1,",",REPT(" ",LEN($B$1))),((ROWS($B$1:$B541)-1)*LEN($B$1))+1,LEN($B$1)))</f>
        <v/>
      </c>
    </row>
    <row r="542" spans="3:3" x14ac:dyDescent="0.15">
      <c r="C542" t="str">
        <f>TRIM(MID(SUBSTITUTE($B$1,",",REPT(" ",LEN($B$1))),((ROWS($B$1:$B542)-1)*LEN($B$1))+1,LEN($B$1)))</f>
        <v/>
      </c>
    </row>
    <row r="543" spans="3:3" x14ac:dyDescent="0.15">
      <c r="C543" t="str">
        <f>TRIM(MID(SUBSTITUTE($B$1,",",REPT(" ",LEN($B$1))),((ROWS($B$1:$B543)-1)*LEN($B$1))+1,LEN($B$1)))</f>
        <v/>
      </c>
    </row>
    <row r="544" spans="3:3" x14ac:dyDescent="0.15">
      <c r="C544" t="str">
        <f>TRIM(MID(SUBSTITUTE($B$1,",",REPT(" ",LEN($B$1))),((ROWS($B$1:$B544)-1)*LEN($B$1))+1,LEN($B$1)))</f>
        <v/>
      </c>
    </row>
    <row r="545" spans="3:3" x14ac:dyDescent="0.15">
      <c r="C545" t="str">
        <f>TRIM(MID(SUBSTITUTE($B$1,",",REPT(" ",LEN($B$1))),((ROWS($B$1:$B545)-1)*LEN($B$1))+1,LEN($B$1)))</f>
        <v/>
      </c>
    </row>
    <row r="546" spans="3:3" x14ac:dyDescent="0.15">
      <c r="C546" t="str">
        <f>TRIM(MID(SUBSTITUTE($B$1,",",REPT(" ",LEN($B$1))),((ROWS($B$1:$B546)-1)*LEN($B$1))+1,LEN($B$1)))</f>
        <v/>
      </c>
    </row>
    <row r="547" spans="3:3" x14ac:dyDescent="0.15">
      <c r="C547" t="str">
        <f>TRIM(MID(SUBSTITUTE($B$1,",",REPT(" ",LEN($B$1))),((ROWS($B$1:$B547)-1)*LEN($B$1))+1,LEN($B$1)))</f>
        <v/>
      </c>
    </row>
    <row r="548" spans="3:3" x14ac:dyDescent="0.15">
      <c r="C548" t="str">
        <f>TRIM(MID(SUBSTITUTE($B$1,",",REPT(" ",LEN($B$1))),((ROWS($B$1:$B548)-1)*LEN($B$1))+1,LEN($B$1)))</f>
        <v/>
      </c>
    </row>
    <row r="549" spans="3:3" x14ac:dyDescent="0.15">
      <c r="C549" t="str">
        <f>TRIM(MID(SUBSTITUTE($B$1,",",REPT(" ",LEN($B$1))),((ROWS($B$1:$B549)-1)*LEN($B$1))+1,LEN($B$1)))</f>
        <v/>
      </c>
    </row>
    <row r="550" spans="3:3" x14ac:dyDescent="0.15">
      <c r="C550" t="str">
        <f>TRIM(MID(SUBSTITUTE($B$1,",",REPT(" ",LEN($B$1))),((ROWS($B$1:$B550)-1)*LEN($B$1))+1,LEN($B$1)))</f>
        <v/>
      </c>
    </row>
    <row r="551" spans="3:3" x14ac:dyDescent="0.15">
      <c r="C551" t="str">
        <f>TRIM(MID(SUBSTITUTE($B$1,",",REPT(" ",LEN($B$1))),((ROWS($B$1:$B551)-1)*LEN($B$1))+1,LEN($B$1)))</f>
        <v/>
      </c>
    </row>
    <row r="552" spans="3:3" x14ac:dyDescent="0.15">
      <c r="C552" t="str">
        <f>TRIM(MID(SUBSTITUTE($B$1,",",REPT(" ",LEN($B$1))),((ROWS($B$1:$B552)-1)*LEN($B$1))+1,LEN($B$1)))</f>
        <v/>
      </c>
    </row>
    <row r="553" spans="3:3" x14ac:dyDescent="0.15">
      <c r="C553" t="str">
        <f>TRIM(MID(SUBSTITUTE($B$1,",",REPT(" ",LEN($B$1))),((ROWS($B$1:$B553)-1)*LEN($B$1))+1,LEN($B$1)))</f>
        <v/>
      </c>
    </row>
    <row r="554" spans="3:3" x14ac:dyDescent="0.15">
      <c r="C554" t="str">
        <f>TRIM(MID(SUBSTITUTE($B$1,",",REPT(" ",LEN($B$1))),((ROWS($B$1:$B554)-1)*LEN($B$1))+1,LEN($B$1)))</f>
        <v/>
      </c>
    </row>
    <row r="555" spans="3:3" x14ac:dyDescent="0.15">
      <c r="C555" t="str">
        <f>TRIM(MID(SUBSTITUTE($B$1,",",REPT(" ",LEN($B$1))),((ROWS($B$1:$B555)-1)*LEN($B$1))+1,LEN($B$1)))</f>
        <v/>
      </c>
    </row>
    <row r="556" spans="3:3" x14ac:dyDescent="0.15">
      <c r="C556" t="str">
        <f>TRIM(MID(SUBSTITUTE($B$1,",",REPT(" ",LEN($B$1))),((ROWS($B$1:$B556)-1)*LEN($B$1))+1,LEN($B$1)))</f>
        <v/>
      </c>
    </row>
    <row r="557" spans="3:3" x14ac:dyDescent="0.15">
      <c r="C557" t="str">
        <f>TRIM(MID(SUBSTITUTE($B$1,",",REPT(" ",LEN($B$1))),((ROWS($B$1:$B557)-1)*LEN($B$1))+1,LEN($B$1)))</f>
        <v/>
      </c>
    </row>
    <row r="558" spans="3:3" x14ac:dyDescent="0.15">
      <c r="C558" t="str">
        <f>TRIM(MID(SUBSTITUTE($B$1,",",REPT(" ",LEN($B$1))),((ROWS($B$1:$B558)-1)*LEN($B$1))+1,LEN($B$1)))</f>
        <v/>
      </c>
    </row>
    <row r="559" spans="3:3" x14ac:dyDescent="0.15">
      <c r="C559" t="str">
        <f>TRIM(MID(SUBSTITUTE($B$1,",",REPT(" ",LEN($B$1))),((ROWS($B$1:$B559)-1)*LEN($B$1))+1,LEN($B$1)))</f>
        <v/>
      </c>
    </row>
    <row r="560" spans="3:3" x14ac:dyDescent="0.15">
      <c r="C560" t="str">
        <f>TRIM(MID(SUBSTITUTE($B$1,",",REPT(" ",LEN($B$1))),((ROWS($B$1:$B560)-1)*LEN($B$1))+1,LEN($B$1)))</f>
        <v/>
      </c>
    </row>
    <row r="561" spans="3:3" x14ac:dyDescent="0.15">
      <c r="C561" t="str">
        <f>TRIM(MID(SUBSTITUTE($B$1,",",REPT(" ",LEN($B$1))),((ROWS($B$1:$B561)-1)*LEN($B$1))+1,LEN($B$1)))</f>
        <v/>
      </c>
    </row>
    <row r="562" spans="3:3" x14ac:dyDescent="0.15">
      <c r="C562" t="str">
        <f>TRIM(MID(SUBSTITUTE($B$1,",",REPT(" ",LEN($B$1))),((ROWS($B$1:$B562)-1)*LEN($B$1))+1,LEN($B$1)))</f>
        <v/>
      </c>
    </row>
    <row r="563" spans="3:3" x14ac:dyDescent="0.15">
      <c r="C563" t="str">
        <f>TRIM(MID(SUBSTITUTE($B$1,",",REPT(" ",LEN($B$1))),((ROWS($B$1:$B563)-1)*LEN($B$1))+1,LEN($B$1)))</f>
        <v/>
      </c>
    </row>
    <row r="564" spans="3:3" x14ac:dyDescent="0.15">
      <c r="C564" t="str">
        <f>TRIM(MID(SUBSTITUTE($B$1,",",REPT(" ",LEN($B$1))),((ROWS($B$1:$B564)-1)*LEN($B$1))+1,LEN($B$1)))</f>
        <v/>
      </c>
    </row>
    <row r="565" spans="3:3" x14ac:dyDescent="0.15">
      <c r="C565" t="str">
        <f>TRIM(MID(SUBSTITUTE($B$1,",",REPT(" ",LEN($B$1))),((ROWS($B$1:$B565)-1)*LEN($B$1))+1,LEN($B$1)))</f>
        <v/>
      </c>
    </row>
    <row r="566" spans="3:3" x14ac:dyDescent="0.15">
      <c r="C566" t="str">
        <f>TRIM(MID(SUBSTITUTE($B$1,",",REPT(" ",LEN($B$1))),((ROWS($B$1:$B566)-1)*LEN($B$1))+1,LEN($B$1)))</f>
        <v/>
      </c>
    </row>
    <row r="567" spans="3:3" x14ac:dyDescent="0.15">
      <c r="C567" t="str">
        <f>TRIM(MID(SUBSTITUTE($B$1,",",REPT(" ",LEN($B$1))),((ROWS($B$1:$B567)-1)*LEN($B$1))+1,LEN($B$1)))</f>
        <v/>
      </c>
    </row>
    <row r="568" spans="3:3" x14ac:dyDescent="0.15">
      <c r="C568" t="str">
        <f>TRIM(MID(SUBSTITUTE($B$1,",",REPT(" ",LEN($B$1))),((ROWS($B$1:$B568)-1)*LEN($B$1))+1,LEN($B$1)))</f>
        <v/>
      </c>
    </row>
    <row r="569" spans="3:3" x14ac:dyDescent="0.15">
      <c r="C569" t="str">
        <f>TRIM(MID(SUBSTITUTE($B$1,",",REPT(" ",LEN($B$1))),((ROWS($B$1:$B569)-1)*LEN($B$1))+1,LEN($B$1)))</f>
        <v/>
      </c>
    </row>
    <row r="570" spans="3:3" x14ac:dyDescent="0.15">
      <c r="C570" t="str">
        <f>TRIM(MID(SUBSTITUTE($B$1,",",REPT(" ",LEN($B$1))),((ROWS($B$1:$B570)-1)*LEN($B$1))+1,LEN($B$1)))</f>
        <v/>
      </c>
    </row>
    <row r="571" spans="3:3" x14ac:dyDescent="0.15">
      <c r="C571" t="str">
        <f>TRIM(MID(SUBSTITUTE($B$1,",",REPT(" ",LEN($B$1))),((ROWS($B$1:$B571)-1)*LEN($B$1))+1,LEN($B$1)))</f>
        <v/>
      </c>
    </row>
    <row r="572" spans="3:3" x14ac:dyDescent="0.15">
      <c r="C572" t="str">
        <f>TRIM(MID(SUBSTITUTE($B$1,",",REPT(" ",LEN($B$1))),((ROWS($B$1:$B572)-1)*LEN($B$1))+1,LEN($B$1)))</f>
        <v/>
      </c>
    </row>
    <row r="573" spans="3:3" x14ac:dyDescent="0.15">
      <c r="C573" t="str">
        <f>TRIM(MID(SUBSTITUTE($B$1,",",REPT(" ",LEN($B$1))),((ROWS($B$1:$B573)-1)*LEN($B$1))+1,LEN($B$1)))</f>
        <v/>
      </c>
    </row>
    <row r="574" spans="3:3" x14ac:dyDescent="0.15">
      <c r="C574" t="str">
        <f>TRIM(MID(SUBSTITUTE($B$1,",",REPT(" ",LEN($B$1))),((ROWS($B$1:$B574)-1)*LEN($B$1))+1,LEN($B$1)))</f>
        <v/>
      </c>
    </row>
    <row r="575" spans="3:3" x14ac:dyDescent="0.15">
      <c r="C575" t="str">
        <f>TRIM(MID(SUBSTITUTE($B$1,",",REPT(" ",LEN($B$1))),((ROWS($B$1:$B575)-1)*LEN($B$1))+1,LEN($B$1)))</f>
        <v/>
      </c>
    </row>
    <row r="576" spans="3:3" x14ac:dyDescent="0.15">
      <c r="C576" t="str">
        <f>TRIM(MID(SUBSTITUTE($B$1,",",REPT(" ",LEN($B$1))),((ROWS($B$1:$B576)-1)*LEN($B$1))+1,LEN($B$1)))</f>
        <v/>
      </c>
    </row>
    <row r="577" spans="3:3" x14ac:dyDescent="0.15">
      <c r="C577" t="str">
        <f>TRIM(MID(SUBSTITUTE($B$1,",",REPT(" ",LEN($B$1))),((ROWS($B$1:$B577)-1)*LEN($B$1))+1,LEN($B$1)))</f>
        <v/>
      </c>
    </row>
    <row r="578" spans="3:3" x14ac:dyDescent="0.15">
      <c r="C578" t="str">
        <f>TRIM(MID(SUBSTITUTE($B$1,",",REPT(" ",LEN($B$1))),((ROWS($B$1:$B578)-1)*LEN($B$1))+1,LEN($B$1)))</f>
        <v/>
      </c>
    </row>
    <row r="579" spans="3:3" x14ac:dyDescent="0.15">
      <c r="C579" t="str">
        <f>TRIM(MID(SUBSTITUTE($B$1,",",REPT(" ",LEN($B$1))),((ROWS($B$1:$B579)-1)*LEN($B$1))+1,LEN($B$1)))</f>
        <v/>
      </c>
    </row>
    <row r="580" spans="3:3" x14ac:dyDescent="0.15">
      <c r="C580" t="str">
        <f>TRIM(MID(SUBSTITUTE($B$1,",",REPT(" ",LEN($B$1))),((ROWS($B$1:$B580)-1)*LEN($B$1))+1,LEN($B$1)))</f>
        <v/>
      </c>
    </row>
    <row r="581" spans="3:3" x14ac:dyDescent="0.15">
      <c r="C581" t="str">
        <f>TRIM(MID(SUBSTITUTE($B$1,",",REPT(" ",LEN($B$1))),((ROWS($B$1:$B581)-1)*LEN($B$1))+1,LEN($B$1)))</f>
        <v/>
      </c>
    </row>
    <row r="582" spans="3:3" x14ac:dyDescent="0.15">
      <c r="C582" t="str">
        <f>TRIM(MID(SUBSTITUTE($B$1,",",REPT(" ",LEN($B$1))),((ROWS($B$1:$B582)-1)*LEN($B$1))+1,LEN($B$1)))</f>
        <v/>
      </c>
    </row>
    <row r="583" spans="3:3" x14ac:dyDescent="0.15">
      <c r="C583" t="str">
        <f>TRIM(MID(SUBSTITUTE($B$1,",",REPT(" ",LEN($B$1))),((ROWS($B$1:$B583)-1)*LEN($B$1))+1,LEN($B$1)))</f>
        <v/>
      </c>
    </row>
    <row r="584" spans="3:3" x14ac:dyDescent="0.15">
      <c r="C584" t="str">
        <f>TRIM(MID(SUBSTITUTE($B$1,",",REPT(" ",LEN($B$1))),((ROWS($B$1:$B584)-1)*LEN($B$1))+1,LEN($B$1)))</f>
        <v/>
      </c>
    </row>
    <row r="585" spans="3:3" x14ac:dyDescent="0.15">
      <c r="C585" t="str">
        <f>TRIM(MID(SUBSTITUTE($B$1,",",REPT(" ",LEN($B$1))),((ROWS($B$1:$B585)-1)*LEN($B$1))+1,LEN($B$1)))</f>
        <v/>
      </c>
    </row>
    <row r="586" spans="3:3" x14ac:dyDescent="0.15">
      <c r="C586" t="str">
        <f>TRIM(MID(SUBSTITUTE($B$1,",",REPT(" ",LEN($B$1))),((ROWS($B$1:$B586)-1)*LEN($B$1))+1,LEN($B$1)))</f>
        <v/>
      </c>
    </row>
    <row r="587" spans="3:3" x14ac:dyDescent="0.15">
      <c r="C587" t="str">
        <f>TRIM(MID(SUBSTITUTE($B$1,",",REPT(" ",LEN($B$1))),((ROWS($B$1:$B587)-1)*LEN($B$1))+1,LEN($B$1)))</f>
        <v/>
      </c>
    </row>
    <row r="588" spans="3:3" x14ac:dyDescent="0.15">
      <c r="C588" t="str">
        <f>TRIM(MID(SUBSTITUTE($B$1,",",REPT(" ",LEN($B$1))),((ROWS($B$1:$B588)-1)*LEN($B$1))+1,LEN($B$1)))</f>
        <v/>
      </c>
    </row>
    <row r="589" spans="3:3" x14ac:dyDescent="0.15">
      <c r="C589" t="str">
        <f>TRIM(MID(SUBSTITUTE($B$1,",",REPT(" ",LEN($B$1))),((ROWS($B$1:$B589)-1)*LEN($B$1))+1,LEN($B$1)))</f>
        <v/>
      </c>
    </row>
    <row r="590" spans="3:3" x14ac:dyDescent="0.15">
      <c r="C590" t="str">
        <f>TRIM(MID(SUBSTITUTE($B$1,",",REPT(" ",LEN($B$1))),((ROWS($B$1:$B590)-1)*LEN($B$1))+1,LEN($B$1)))</f>
        <v/>
      </c>
    </row>
    <row r="591" spans="3:3" x14ac:dyDescent="0.15">
      <c r="C591" t="str">
        <f>TRIM(MID(SUBSTITUTE($B$1,",",REPT(" ",LEN($B$1))),((ROWS($B$1:$B591)-1)*LEN($B$1))+1,LEN($B$1)))</f>
        <v/>
      </c>
    </row>
    <row r="592" spans="3:3" x14ac:dyDescent="0.15">
      <c r="C592" t="str">
        <f>TRIM(MID(SUBSTITUTE($B$1,",",REPT(" ",LEN($B$1))),((ROWS($B$1:$B592)-1)*LEN($B$1))+1,LEN($B$1)))</f>
        <v/>
      </c>
    </row>
    <row r="593" spans="3:3" x14ac:dyDescent="0.15">
      <c r="C593" t="str">
        <f>TRIM(MID(SUBSTITUTE($B$1,",",REPT(" ",LEN($B$1))),((ROWS($B$1:$B593)-1)*LEN($B$1))+1,LEN($B$1)))</f>
        <v/>
      </c>
    </row>
    <row r="594" spans="3:3" x14ac:dyDescent="0.15">
      <c r="C594" t="str">
        <f>TRIM(MID(SUBSTITUTE($B$1,",",REPT(" ",LEN($B$1))),((ROWS($B$1:$B594)-1)*LEN($B$1))+1,LEN($B$1)))</f>
        <v/>
      </c>
    </row>
    <row r="595" spans="3:3" x14ac:dyDescent="0.15">
      <c r="C595" t="str">
        <f>TRIM(MID(SUBSTITUTE($B$1,",",REPT(" ",LEN($B$1))),((ROWS($B$1:$B595)-1)*LEN($B$1))+1,LEN($B$1)))</f>
        <v/>
      </c>
    </row>
    <row r="596" spans="3:3" x14ac:dyDescent="0.15">
      <c r="C596" t="str">
        <f>TRIM(MID(SUBSTITUTE($B$1,",",REPT(" ",LEN($B$1))),((ROWS($B$1:$B596)-1)*LEN($B$1))+1,LEN($B$1)))</f>
        <v/>
      </c>
    </row>
    <row r="597" spans="3:3" x14ac:dyDescent="0.15">
      <c r="C597" t="str">
        <f>TRIM(MID(SUBSTITUTE($B$1,",",REPT(" ",LEN($B$1))),((ROWS($B$1:$B597)-1)*LEN($B$1))+1,LEN($B$1)))</f>
        <v/>
      </c>
    </row>
    <row r="598" spans="3:3" x14ac:dyDescent="0.15">
      <c r="C598" t="str">
        <f>TRIM(MID(SUBSTITUTE($B$1,",",REPT(" ",LEN($B$1))),((ROWS($B$1:$B598)-1)*LEN($B$1))+1,LEN($B$1)))</f>
        <v/>
      </c>
    </row>
    <row r="599" spans="3:3" x14ac:dyDescent="0.15">
      <c r="C599" t="str">
        <f>TRIM(MID(SUBSTITUTE($B$1,",",REPT(" ",LEN($B$1))),((ROWS($B$1:$B599)-1)*LEN($B$1))+1,LEN($B$1)))</f>
        <v/>
      </c>
    </row>
    <row r="600" spans="3:3" x14ac:dyDescent="0.15">
      <c r="C600" t="str">
        <f>TRIM(MID(SUBSTITUTE($B$1,",",REPT(" ",LEN($B$1))),((ROWS($B$1:$B600)-1)*LEN($B$1))+1,LEN($B$1)))</f>
        <v/>
      </c>
    </row>
    <row r="601" spans="3:3" x14ac:dyDescent="0.15">
      <c r="C601" t="str">
        <f>TRIM(MID(SUBSTITUTE($B$1,",",REPT(" ",LEN($B$1))),((ROWS($B$1:$B601)-1)*LEN($B$1))+1,LEN($B$1)))</f>
        <v/>
      </c>
    </row>
    <row r="602" spans="3:3" x14ac:dyDescent="0.15">
      <c r="C602" t="str">
        <f>TRIM(MID(SUBSTITUTE($B$1,",",REPT(" ",LEN($B$1))),((ROWS($B$1:$B602)-1)*LEN($B$1))+1,LEN($B$1)))</f>
        <v/>
      </c>
    </row>
    <row r="603" spans="3:3" x14ac:dyDescent="0.15">
      <c r="C603" t="str">
        <f>TRIM(MID(SUBSTITUTE($B$1,",",REPT(" ",LEN($B$1))),((ROWS($B$1:$B603)-1)*LEN($B$1))+1,LEN($B$1)))</f>
        <v/>
      </c>
    </row>
    <row r="604" spans="3:3" x14ac:dyDescent="0.15">
      <c r="C604" t="str">
        <f>TRIM(MID(SUBSTITUTE($B$1,",",REPT(" ",LEN($B$1))),((ROWS($B$1:$B604)-1)*LEN($B$1))+1,LEN($B$1)))</f>
        <v/>
      </c>
    </row>
    <row r="605" spans="3:3" x14ac:dyDescent="0.15">
      <c r="C605" t="str">
        <f>TRIM(MID(SUBSTITUTE($B$1,",",REPT(" ",LEN($B$1))),((ROWS($B$1:$B605)-1)*LEN($B$1))+1,LEN($B$1)))</f>
        <v/>
      </c>
    </row>
    <row r="606" spans="3:3" x14ac:dyDescent="0.15">
      <c r="C606" t="str">
        <f>TRIM(MID(SUBSTITUTE($B$1,",",REPT(" ",LEN($B$1))),((ROWS($B$1:$B606)-1)*LEN($B$1))+1,LEN($B$1)))</f>
        <v/>
      </c>
    </row>
    <row r="607" spans="3:3" x14ac:dyDescent="0.15">
      <c r="C607" t="str">
        <f>TRIM(MID(SUBSTITUTE($B$1,",",REPT(" ",LEN($B$1))),((ROWS($B$1:$B607)-1)*LEN($B$1))+1,LEN($B$1)))</f>
        <v/>
      </c>
    </row>
    <row r="608" spans="3:3" x14ac:dyDescent="0.15">
      <c r="C608" t="str">
        <f>TRIM(MID(SUBSTITUTE($B$1,",",REPT(" ",LEN($B$1))),((ROWS($B$1:$B608)-1)*LEN($B$1))+1,LEN($B$1)))</f>
        <v/>
      </c>
    </row>
    <row r="609" spans="3:3" x14ac:dyDescent="0.15">
      <c r="C609" t="str">
        <f>TRIM(MID(SUBSTITUTE($B$1,",",REPT(" ",LEN($B$1))),((ROWS($B$1:$B609)-1)*LEN($B$1))+1,LEN($B$1)))</f>
        <v/>
      </c>
    </row>
    <row r="610" spans="3:3" x14ac:dyDescent="0.15">
      <c r="C610" t="str">
        <f>TRIM(MID(SUBSTITUTE($B$1,",",REPT(" ",LEN($B$1))),((ROWS($B$1:$B610)-1)*LEN($B$1))+1,LEN($B$1)))</f>
        <v/>
      </c>
    </row>
    <row r="611" spans="3:3" x14ac:dyDescent="0.15">
      <c r="C611" t="str">
        <f>TRIM(MID(SUBSTITUTE($B$1,",",REPT(" ",LEN($B$1))),((ROWS($B$1:$B611)-1)*LEN($B$1))+1,LEN($B$1)))</f>
        <v/>
      </c>
    </row>
    <row r="612" spans="3:3" x14ac:dyDescent="0.15">
      <c r="C612" t="str">
        <f>TRIM(MID(SUBSTITUTE($B$1,",",REPT(" ",LEN($B$1))),((ROWS($B$1:$B612)-1)*LEN($B$1))+1,LEN($B$1)))</f>
        <v/>
      </c>
    </row>
    <row r="613" spans="3:3" x14ac:dyDescent="0.15">
      <c r="C613" t="str">
        <f>TRIM(MID(SUBSTITUTE($B$1,",",REPT(" ",LEN($B$1))),((ROWS($B$1:$B613)-1)*LEN($B$1))+1,LEN($B$1)))</f>
        <v/>
      </c>
    </row>
    <row r="614" spans="3:3" x14ac:dyDescent="0.15">
      <c r="C614" t="str">
        <f>TRIM(MID(SUBSTITUTE($B$1,",",REPT(" ",LEN($B$1))),((ROWS($B$1:$B614)-1)*LEN($B$1))+1,LEN($B$1)))</f>
        <v/>
      </c>
    </row>
    <row r="615" spans="3:3" x14ac:dyDescent="0.15">
      <c r="C615" t="str">
        <f>TRIM(MID(SUBSTITUTE($B$1,",",REPT(" ",LEN($B$1))),((ROWS($B$1:$B615)-1)*LEN($B$1))+1,LEN($B$1)))</f>
        <v/>
      </c>
    </row>
    <row r="616" spans="3:3" x14ac:dyDescent="0.15">
      <c r="C616" t="str">
        <f>TRIM(MID(SUBSTITUTE($B$1,",",REPT(" ",LEN($B$1))),((ROWS($B$1:$B616)-1)*LEN($B$1))+1,LEN($B$1)))</f>
        <v/>
      </c>
    </row>
    <row r="617" spans="3:3" x14ac:dyDescent="0.15">
      <c r="C617" t="str">
        <f>TRIM(MID(SUBSTITUTE($B$1,",",REPT(" ",LEN($B$1))),((ROWS($B$1:$B617)-1)*LEN($B$1))+1,LEN($B$1)))</f>
        <v/>
      </c>
    </row>
    <row r="618" spans="3:3" x14ac:dyDescent="0.15">
      <c r="C618" t="str">
        <f>TRIM(MID(SUBSTITUTE($B$1,",",REPT(" ",LEN($B$1))),((ROWS($B$1:$B618)-1)*LEN($B$1))+1,LEN($B$1)))</f>
        <v/>
      </c>
    </row>
    <row r="619" spans="3:3" x14ac:dyDescent="0.15">
      <c r="C619" t="str">
        <f>TRIM(MID(SUBSTITUTE($B$1,",",REPT(" ",LEN($B$1))),((ROWS($B$1:$B619)-1)*LEN($B$1))+1,LEN($B$1)))</f>
        <v/>
      </c>
    </row>
    <row r="620" spans="3:3" x14ac:dyDescent="0.15">
      <c r="C620" t="str">
        <f>TRIM(MID(SUBSTITUTE($B$1,",",REPT(" ",LEN($B$1))),((ROWS($B$1:$B620)-1)*LEN($B$1))+1,LEN($B$1)))</f>
        <v/>
      </c>
    </row>
    <row r="621" spans="3:3" x14ac:dyDescent="0.15">
      <c r="C621" t="str">
        <f>TRIM(MID(SUBSTITUTE($B$1,",",REPT(" ",LEN($B$1))),((ROWS($B$1:$B621)-1)*LEN($B$1))+1,LEN($B$1)))</f>
        <v/>
      </c>
    </row>
    <row r="622" spans="3:3" x14ac:dyDescent="0.15">
      <c r="C622" t="str">
        <f>TRIM(MID(SUBSTITUTE($B$1,",",REPT(" ",LEN($B$1))),((ROWS($B$1:$B622)-1)*LEN($B$1))+1,LEN($B$1)))</f>
        <v/>
      </c>
    </row>
    <row r="623" spans="3:3" x14ac:dyDescent="0.15">
      <c r="C623" t="str">
        <f>TRIM(MID(SUBSTITUTE($B$1,",",REPT(" ",LEN($B$1))),((ROWS($B$1:$B623)-1)*LEN($B$1))+1,LEN($B$1)))</f>
        <v/>
      </c>
    </row>
    <row r="624" spans="3:3" x14ac:dyDescent="0.15">
      <c r="C624" t="str">
        <f>TRIM(MID(SUBSTITUTE($B$1,",",REPT(" ",LEN($B$1))),((ROWS($B$1:$B624)-1)*LEN($B$1))+1,LEN($B$1)))</f>
        <v/>
      </c>
    </row>
    <row r="625" spans="3:3" x14ac:dyDescent="0.15">
      <c r="C625" t="str">
        <f>TRIM(MID(SUBSTITUTE($B$1,",",REPT(" ",LEN($B$1))),((ROWS($B$1:$B625)-1)*LEN($B$1))+1,LEN($B$1)))</f>
        <v/>
      </c>
    </row>
    <row r="626" spans="3:3" x14ac:dyDescent="0.15">
      <c r="C626" t="str">
        <f>TRIM(MID(SUBSTITUTE($B$1,",",REPT(" ",LEN($B$1))),((ROWS($B$1:$B626)-1)*LEN($B$1))+1,LEN($B$1)))</f>
        <v/>
      </c>
    </row>
    <row r="627" spans="3:3" x14ac:dyDescent="0.15">
      <c r="C627" t="str">
        <f>TRIM(MID(SUBSTITUTE($B$1,",",REPT(" ",LEN($B$1))),((ROWS($B$1:$B627)-1)*LEN($B$1))+1,LEN($B$1)))</f>
        <v/>
      </c>
    </row>
    <row r="628" spans="3:3" x14ac:dyDescent="0.15">
      <c r="C628" t="str">
        <f>TRIM(MID(SUBSTITUTE($B$1,",",REPT(" ",LEN($B$1))),((ROWS($B$1:$B628)-1)*LEN($B$1))+1,LEN($B$1)))</f>
        <v/>
      </c>
    </row>
    <row r="629" spans="3:3" x14ac:dyDescent="0.15">
      <c r="C629" t="str">
        <f>TRIM(MID(SUBSTITUTE($B$1,",",REPT(" ",LEN($B$1))),((ROWS($B$1:$B629)-1)*LEN($B$1))+1,LEN($B$1)))</f>
        <v/>
      </c>
    </row>
    <row r="630" spans="3:3" x14ac:dyDescent="0.15">
      <c r="C630" t="str">
        <f>TRIM(MID(SUBSTITUTE($B$1,",",REPT(" ",LEN($B$1))),((ROWS($B$1:$B630)-1)*LEN($B$1))+1,LEN($B$1)))</f>
        <v/>
      </c>
    </row>
    <row r="631" spans="3:3" x14ac:dyDescent="0.15">
      <c r="C631" t="str">
        <f>TRIM(MID(SUBSTITUTE($B$1,",",REPT(" ",LEN($B$1))),((ROWS($B$1:$B631)-1)*LEN($B$1))+1,LEN($B$1)))</f>
        <v/>
      </c>
    </row>
    <row r="632" spans="3:3" x14ac:dyDescent="0.15">
      <c r="C632" t="str">
        <f>TRIM(MID(SUBSTITUTE($B$1,",",REPT(" ",LEN($B$1))),((ROWS($B$1:$B632)-1)*LEN($B$1))+1,LEN($B$1)))</f>
        <v/>
      </c>
    </row>
    <row r="633" spans="3:3" x14ac:dyDescent="0.15">
      <c r="C633" t="str">
        <f>TRIM(MID(SUBSTITUTE($B$1,",",REPT(" ",LEN($B$1))),((ROWS($B$1:$B633)-1)*LEN($B$1))+1,LEN($B$1)))</f>
        <v/>
      </c>
    </row>
    <row r="634" spans="3:3" x14ac:dyDescent="0.15">
      <c r="C634" t="str">
        <f>TRIM(MID(SUBSTITUTE($B$1,",",REPT(" ",LEN($B$1))),((ROWS($B$1:$B634)-1)*LEN($B$1))+1,LEN($B$1)))</f>
        <v/>
      </c>
    </row>
    <row r="635" spans="3:3" x14ac:dyDescent="0.15">
      <c r="C635" t="str">
        <f>TRIM(MID(SUBSTITUTE($B$1,",",REPT(" ",LEN($B$1))),((ROWS($B$1:$B635)-1)*LEN($B$1))+1,LEN($B$1)))</f>
        <v/>
      </c>
    </row>
    <row r="636" spans="3:3" x14ac:dyDescent="0.15">
      <c r="C636" t="str">
        <f>TRIM(MID(SUBSTITUTE($B$1,",",REPT(" ",LEN($B$1))),((ROWS($B$1:$B636)-1)*LEN($B$1))+1,LEN($B$1)))</f>
        <v/>
      </c>
    </row>
    <row r="637" spans="3:3" x14ac:dyDescent="0.15">
      <c r="C637" t="str">
        <f>TRIM(MID(SUBSTITUTE($B$1,",",REPT(" ",LEN($B$1))),((ROWS($B$1:$B637)-1)*LEN($B$1))+1,LEN($B$1)))</f>
        <v/>
      </c>
    </row>
    <row r="638" spans="3:3" x14ac:dyDescent="0.15">
      <c r="C638" t="str">
        <f>TRIM(MID(SUBSTITUTE($B$1,",",REPT(" ",LEN($B$1))),((ROWS($B$1:$B638)-1)*LEN($B$1))+1,LEN($B$1)))</f>
        <v/>
      </c>
    </row>
    <row r="639" spans="3:3" x14ac:dyDescent="0.15">
      <c r="C639" t="str">
        <f>TRIM(MID(SUBSTITUTE($B$1,",",REPT(" ",LEN($B$1))),((ROWS($B$1:$B639)-1)*LEN($B$1))+1,LEN($B$1)))</f>
        <v/>
      </c>
    </row>
    <row r="640" spans="3:3" x14ac:dyDescent="0.15">
      <c r="C640" t="str">
        <f>TRIM(MID(SUBSTITUTE($B$1,",",REPT(" ",LEN($B$1))),((ROWS($B$1:$B640)-1)*LEN($B$1))+1,LEN($B$1)))</f>
        <v/>
      </c>
    </row>
    <row r="641" spans="3:3" x14ac:dyDescent="0.15">
      <c r="C641" t="str">
        <f>TRIM(MID(SUBSTITUTE($B$1,",",REPT(" ",LEN($B$1))),((ROWS($B$1:$B641)-1)*LEN($B$1))+1,LEN($B$1)))</f>
        <v/>
      </c>
    </row>
    <row r="642" spans="3:3" x14ac:dyDescent="0.15">
      <c r="C642" t="str">
        <f>TRIM(MID(SUBSTITUTE($B$1,",",REPT(" ",LEN($B$1))),((ROWS($B$1:$B642)-1)*LEN($B$1))+1,LEN($B$1)))</f>
        <v/>
      </c>
    </row>
    <row r="643" spans="3:3" x14ac:dyDescent="0.15">
      <c r="C643" t="str">
        <f>TRIM(MID(SUBSTITUTE($B$1,",",REPT(" ",LEN($B$1))),((ROWS($B$1:$B643)-1)*LEN($B$1))+1,LEN($B$1)))</f>
        <v/>
      </c>
    </row>
    <row r="644" spans="3:3" x14ac:dyDescent="0.15">
      <c r="C644" t="str">
        <f>TRIM(MID(SUBSTITUTE($B$1,",",REPT(" ",LEN($B$1))),((ROWS($B$1:$B644)-1)*LEN($B$1))+1,LEN($B$1)))</f>
        <v/>
      </c>
    </row>
    <row r="645" spans="3:3" x14ac:dyDescent="0.15">
      <c r="C645" t="str">
        <f>TRIM(MID(SUBSTITUTE($B$1,",",REPT(" ",LEN($B$1))),((ROWS($B$1:$B645)-1)*LEN($B$1))+1,LEN($B$1)))</f>
        <v/>
      </c>
    </row>
    <row r="646" spans="3:3" x14ac:dyDescent="0.15">
      <c r="C646" t="str">
        <f>TRIM(MID(SUBSTITUTE($B$1,",",REPT(" ",LEN($B$1))),((ROWS($B$1:$B646)-1)*LEN($B$1))+1,LEN($B$1)))</f>
        <v/>
      </c>
    </row>
    <row r="647" spans="3:3" x14ac:dyDescent="0.15">
      <c r="C647" t="str">
        <f>TRIM(MID(SUBSTITUTE($B$1,",",REPT(" ",LEN($B$1))),((ROWS($B$1:$B647)-1)*LEN($B$1))+1,LEN($B$1)))</f>
        <v/>
      </c>
    </row>
    <row r="648" spans="3:3" x14ac:dyDescent="0.15">
      <c r="C648" t="str">
        <f>TRIM(MID(SUBSTITUTE($B$1,",",REPT(" ",LEN($B$1))),((ROWS($B$1:$B648)-1)*LEN($B$1))+1,LEN($B$1)))</f>
        <v/>
      </c>
    </row>
    <row r="649" spans="3:3" x14ac:dyDescent="0.15">
      <c r="C649" t="str">
        <f>TRIM(MID(SUBSTITUTE($B$1,",",REPT(" ",LEN($B$1))),((ROWS($B$1:$B649)-1)*LEN($B$1))+1,LEN($B$1)))</f>
        <v/>
      </c>
    </row>
    <row r="650" spans="3:3" x14ac:dyDescent="0.15">
      <c r="C650" t="str">
        <f>TRIM(MID(SUBSTITUTE($B$1,",",REPT(" ",LEN($B$1))),((ROWS($B$1:$B650)-1)*LEN($B$1))+1,LEN($B$1)))</f>
        <v/>
      </c>
    </row>
    <row r="651" spans="3:3" x14ac:dyDescent="0.15">
      <c r="C651" t="str">
        <f>TRIM(MID(SUBSTITUTE($B$1,",",REPT(" ",LEN($B$1))),((ROWS($B$1:$B651)-1)*LEN($B$1))+1,LEN($B$1)))</f>
        <v/>
      </c>
    </row>
    <row r="652" spans="3:3" x14ac:dyDescent="0.15">
      <c r="C652" t="str">
        <f>TRIM(MID(SUBSTITUTE($B$1,",",REPT(" ",LEN($B$1))),((ROWS($B$1:$B652)-1)*LEN($B$1))+1,LEN($B$1)))</f>
        <v/>
      </c>
    </row>
    <row r="653" spans="3:3" x14ac:dyDescent="0.15">
      <c r="C653" t="str">
        <f>TRIM(MID(SUBSTITUTE($B$1,",",REPT(" ",LEN($B$1))),((ROWS($B$1:$B653)-1)*LEN($B$1))+1,LEN($B$1)))</f>
        <v/>
      </c>
    </row>
    <row r="654" spans="3:3" x14ac:dyDescent="0.15">
      <c r="C654" t="str">
        <f>TRIM(MID(SUBSTITUTE($B$1,",",REPT(" ",LEN($B$1))),((ROWS($B$1:$B654)-1)*LEN($B$1))+1,LEN($B$1)))</f>
        <v/>
      </c>
    </row>
    <row r="655" spans="3:3" x14ac:dyDescent="0.15">
      <c r="C655" t="str">
        <f>TRIM(MID(SUBSTITUTE($B$1,",",REPT(" ",LEN($B$1))),((ROWS($B$1:$B655)-1)*LEN($B$1))+1,LEN($B$1)))</f>
        <v/>
      </c>
    </row>
    <row r="656" spans="3:3" x14ac:dyDescent="0.15">
      <c r="C656" t="str">
        <f>TRIM(MID(SUBSTITUTE($B$1,",",REPT(" ",LEN($B$1))),((ROWS($B$1:$B656)-1)*LEN($B$1))+1,LEN($B$1)))</f>
        <v/>
      </c>
    </row>
    <row r="657" spans="3:3" x14ac:dyDescent="0.15">
      <c r="C657" t="str">
        <f>TRIM(MID(SUBSTITUTE($B$1,",",REPT(" ",LEN($B$1))),((ROWS($B$1:$B657)-1)*LEN($B$1))+1,LEN($B$1)))</f>
        <v/>
      </c>
    </row>
    <row r="658" spans="3:3" x14ac:dyDescent="0.15">
      <c r="C658" t="str">
        <f>TRIM(MID(SUBSTITUTE($B$1,",",REPT(" ",LEN($B$1))),((ROWS($B$1:$B658)-1)*LEN($B$1))+1,LEN($B$1)))</f>
        <v/>
      </c>
    </row>
    <row r="659" spans="3:3" x14ac:dyDescent="0.15">
      <c r="C659" t="str">
        <f>TRIM(MID(SUBSTITUTE($B$1,",",REPT(" ",LEN($B$1))),((ROWS($B$1:$B659)-1)*LEN($B$1))+1,LEN($B$1)))</f>
        <v/>
      </c>
    </row>
    <row r="660" spans="3:3" x14ac:dyDescent="0.15">
      <c r="C660" t="str">
        <f>TRIM(MID(SUBSTITUTE($B$1,",",REPT(" ",LEN($B$1))),((ROWS($B$1:$B660)-1)*LEN($B$1))+1,LEN($B$1)))</f>
        <v/>
      </c>
    </row>
    <row r="661" spans="3:3" x14ac:dyDescent="0.15">
      <c r="C661" t="str">
        <f>TRIM(MID(SUBSTITUTE($B$1,",",REPT(" ",LEN($B$1))),((ROWS($B$1:$B661)-1)*LEN($B$1))+1,LEN($B$1)))</f>
        <v/>
      </c>
    </row>
    <row r="662" spans="3:3" x14ac:dyDescent="0.15">
      <c r="C662" t="str">
        <f>TRIM(MID(SUBSTITUTE($B$1,",",REPT(" ",LEN($B$1))),((ROWS($B$1:$B662)-1)*LEN($B$1))+1,LEN($B$1)))</f>
        <v/>
      </c>
    </row>
    <row r="663" spans="3:3" x14ac:dyDescent="0.15">
      <c r="C663" t="str">
        <f>TRIM(MID(SUBSTITUTE($B$1,",",REPT(" ",LEN($B$1))),((ROWS($B$1:$B663)-1)*LEN($B$1))+1,LEN($B$1)))</f>
        <v/>
      </c>
    </row>
    <row r="664" spans="3:3" x14ac:dyDescent="0.15">
      <c r="C664" t="str">
        <f>TRIM(MID(SUBSTITUTE($B$1,",",REPT(" ",LEN($B$1))),((ROWS($B$1:$B664)-1)*LEN($B$1))+1,LEN($B$1)))</f>
        <v/>
      </c>
    </row>
    <row r="665" spans="3:3" x14ac:dyDescent="0.15">
      <c r="C665" t="str">
        <f>TRIM(MID(SUBSTITUTE($B$1,",",REPT(" ",LEN($B$1))),((ROWS($B$1:$B665)-1)*LEN($B$1))+1,LEN($B$1)))</f>
        <v/>
      </c>
    </row>
    <row r="666" spans="3:3" x14ac:dyDescent="0.15">
      <c r="C666" t="str">
        <f>TRIM(MID(SUBSTITUTE($B$1,",",REPT(" ",LEN($B$1))),((ROWS($B$1:$B666)-1)*LEN($B$1))+1,LEN($B$1)))</f>
        <v/>
      </c>
    </row>
    <row r="667" spans="3:3" x14ac:dyDescent="0.15">
      <c r="C667" t="str">
        <f>TRIM(MID(SUBSTITUTE($B$1,",",REPT(" ",LEN($B$1))),((ROWS($B$1:$B667)-1)*LEN($B$1))+1,LEN($B$1)))</f>
        <v/>
      </c>
    </row>
    <row r="668" spans="3:3" x14ac:dyDescent="0.15">
      <c r="C668" t="str">
        <f>TRIM(MID(SUBSTITUTE($B$1,",",REPT(" ",LEN($B$1))),((ROWS($B$1:$B668)-1)*LEN($B$1))+1,LEN($B$1)))</f>
        <v/>
      </c>
    </row>
    <row r="669" spans="3:3" x14ac:dyDescent="0.15">
      <c r="C669" t="str">
        <f>TRIM(MID(SUBSTITUTE($B$1,",",REPT(" ",LEN($B$1))),((ROWS($B$1:$B669)-1)*LEN($B$1))+1,LEN($B$1)))</f>
        <v/>
      </c>
    </row>
    <row r="670" spans="3:3" x14ac:dyDescent="0.15">
      <c r="C670" t="str">
        <f>TRIM(MID(SUBSTITUTE($B$1,",",REPT(" ",LEN($B$1))),((ROWS($B$1:$B670)-1)*LEN($B$1))+1,LEN($B$1)))</f>
        <v/>
      </c>
    </row>
    <row r="671" spans="3:3" x14ac:dyDescent="0.15">
      <c r="C671" t="str">
        <f>TRIM(MID(SUBSTITUTE($B$1,",",REPT(" ",LEN($B$1))),((ROWS($B$1:$B671)-1)*LEN($B$1))+1,LEN($B$1)))</f>
        <v/>
      </c>
    </row>
    <row r="672" spans="3:3" x14ac:dyDescent="0.15">
      <c r="C672" t="str">
        <f>TRIM(MID(SUBSTITUTE($B$1,",",REPT(" ",LEN($B$1))),((ROWS($B$1:$B672)-1)*LEN($B$1))+1,LEN($B$1)))</f>
        <v/>
      </c>
    </row>
    <row r="673" spans="3:3" x14ac:dyDescent="0.15">
      <c r="C673" t="str">
        <f>TRIM(MID(SUBSTITUTE($B$1,",",REPT(" ",LEN($B$1))),((ROWS($B$1:$B673)-1)*LEN($B$1))+1,LEN($B$1)))</f>
        <v/>
      </c>
    </row>
    <row r="674" spans="3:3" x14ac:dyDescent="0.15">
      <c r="C674" t="str">
        <f>TRIM(MID(SUBSTITUTE($B$1,",",REPT(" ",LEN($B$1))),((ROWS($B$1:$B674)-1)*LEN($B$1))+1,LEN($B$1)))</f>
        <v/>
      </c>
    </row>
    <row r="675" spans="3:3" x14ac:dyDescent="0.15">
      <c r="C675" t="str">
        <f>TRIM(MID(SUBSTITUTE($B$1,",",REPT(" ",LEN($B$1))),((ROWS($B$1:$B675)-1)*LEN($B$1))+1,LEN($B$1)))</f>
        <v/>
      </c>
    </row>
    <row r="676" spans="3:3" x14ac:dyDescent="0.15">
      <c r="C676" t="str">
        <f>TRIM(MID(SUBSTITUTE($B$1,",",REPT(" ",LEN($B$1))),((ROWS($B$1:$B676)-1)*LEN($B$1))+1,LEN($B$1)))</f>
        <v/>
      </c>
    </row>
    <row r="677" spans="3:3" x14ac:dyDescent="0.15">
      <c r="C677" t="str">
        <f>TRIM(MID(SUBSTITUTE($B$1,",",REPT(" ",LEN($B$1))),((ROWS($B$1:$B677)-1)*LEN($B$1))+1,LEN($B$1)))</f>
        <v/>
      </c>
    </row>
    <row r="678" spans="3:3" x14ac:dyDescent="0.15">
      <c r="C678" t="str">
        <f>TRIM(MID(SUBSTITUTE($B$1,",",REPT(" ",LEN($B$1))),((ROWS($B$1:$B678)-1)*LEN($B$1))+1,LEN($B$1)))</f>
        <v/>
      </c>
    </row>
    <row r="679" spans="3:3" x14ac:dyDescent="0.15">
      <c r="C679" t="str">
        <f>TRIM(MID(SUBSTITUTE($B$1,",",REPT(" ",LEN($B$1))),((ROWS($B$1:$B679)-1)*LEN($B$1))+1,LEN($B$1)))</f>
        <v/>
      </c>
    </row>
    <row r="680" spans="3:3" x14ac:dyDescent="0.15">
      <c r="C680" t="str">
        <f>TRIM(MID(SUBSTITUTE($B$1,",",REPT(" ",LEN($B$1))),((ROWS($B$1:$B680)-1)*LEN($B$1))+1,LEN($B$1)))</f>
        <v/>
      </c>
    </row>
    <row r="681" spans="3:3" x14ac:dyDescent="0.15">
      <c r="C681" t="str">
        <f>TRIM(MID(SUBSTITUTE($B$1,",",REPT(" ",LEN($B$1))),((ROWS($B$1:$B681)-1)*LEN($B$1))+1,LEN($B$1)))</f>
        <v/>
      </c>
    </row>
    <row r="682" spans="3:3" x14ac:dyDescent="0.15">
      <c r="C682" t="str">
        <f>TRIM(MID(SUBSTITUTE($B$1,",",REPT(" ",LEN($B$1))),((ROWS($B$1:$B682)-1)*LEN($B$1))+1,LEN($B$1)))</f>
        <v/>
      </c>
    </row>
    <row r="683" spans="3:3" x14ac:dyDescent="0.15">
      <c r="C683" t="str">
        <f>TRIM(MID(SUBSTITUTE($B$1,",",REPT(" ",LEN($B$1))),((ROWS($B$1:$B683)-1)*LEN($B$1))+1,LEN($B$1)))</f>
        <v/>
      </c>
    </row>
    <row r="684" spans="3:3" x14ac:dyDescent="0.15">
      <c r="C684" t="str">
        <f>TRIM(MID(SUBSTITUTE($B$1,",",REPT(" ",LEN($B$1))),((ROWS($B$1:$B684)-1)*LEN($B$1))+1,LEN($B$1)))</f>
        <v/>
      </c>
    </row>
    <row r="685" spans="3:3" x14ac:dyDescent="0.15">
      <c r="C685" t="str">
        <f>TRIM(MID(SUBSTITUTE($B$1,",",REPT(" ",LEN($B$1))),((ROWS($B$1:$B685)-1)*LEN($B$1))+1,LEN($B$1)))</f>
        <v/>
      </c>
    </row>
    <row r="686" spans="3:3" x14ac:dyDescent="0.15">
      <c r="C686" t="str">
        <f>TRIM(MID(SUBSTITUTE($B$1,",",REPT(" ",LEN($B$1))),((ROWS($B$1:$B686)-1)*LEN($B$1))+1,LEN($B$1)))</f>
        <v/>
      </c>
    </row>
    <row r="687" spans="3:3" x14ac:dyDescent="0.15">
      <c r="C687" t="str">
        <f>TRIM(MID(SUBSTITUTE($B$1,",",REPT(" ",LEN($B$1))),((ROWS($B$1:$B687)-1)*LEN($B$1))+1,LEN($B$1)))</f>
        <v/>
      </c>
    </row>
    <row r="688" spans="3:3" x14ac:dyDescent="0.15">
      <c r="C688" t="str">
        <f>TRIM(MID(SUBSTITUTE($B$1,",",REPT(" ",LEN($B$1))),((ROWS($B$1:$B688)-1)*LEN($B$1))+1,LEN($B$1)))</f>
        <v/>
      </c>
    </row>
    <row r="689" spans="3:3" x14ac:dyDescent="0.15">
      <c r="C689" t="str">
        <f>TRIM(MID(SUBSTITUTE($B$1,",",REPT(" ",LEN($B$1))),((ROWS($B$1:$B689)-1)*LEN($B$1))+1,LEN($B$1)))</f>
        <v/>
      </c>
    </row>
    <row r="690" spans="3:3" x14ac:dyDescent="0.15">
      <c r="C690" t="str">
        <f>TRIM(MID(SUBSTITUTE($B$1,",",REPT(" ",LEN($B$1))),((ROWS($B$1:$B690)-1)*LEN($B$1))+1,LEN($B$1)))</f>
        <v/>
      </c>
    </row>
    <row r="691" spans="3:3" x14ac:dyDescent="0.15">
      <c r="C691" t="str">
        <f>TRIM(MID(SUBSTITUTE($B$1,",",REPT(" ",LEN($B$1))),((ROWS($B$1:$B691)-1)*LEN($B$1))+1,LEN($B$1)))</f>
        <v/>
      </c>
    </row>
    <row r="692" spans="3:3" x14ac:dyDescent="0.15">
      <c r="C692" t="str">
        <f>TRIM(MID(SUBSTITUTE($B$1,",",REPT(" ",LEN($B$1))),((ROWS($B$1:$B692)-1)*LEN($B$1))+1,LEN($B$1)))</f>
        <v/>
      </c>
    </row>
    <row r="693" spans="3:3" x14ac:dyDescent="0.15">
      <c r="C693" t="str">
        <f>TRIM(MID(SUBSTITUTE($B$1,",",REPT(" ",LEN($B$1))),((ROWS($B$1:$B693)-1)*LEN($B$1))+1,LEN($B$1)))</f>
        <v/>
      </c>
    </row>
    <row r="694" spans="3:3" x14ac:dyDescent="0.15">
      <c r="C694" t="str">
        <f>TRIM(MID(SUBSTITUTE($B$1,",",REPT(" ",LEN($B$1))),((ROWS($B$1:$B694)-1)*LEN($B$1))+1,LEN($B$1)))</f>
        <v/>
      </c>
    </row>
    <row r="695" spans="3:3" x14ac:dyDescent="0.15">
      <c r="C695" t="str">
        <f>TRIM(MID(SUBSTITUTE($B$1,",",REPT(" ",LEN($B$1))),((ROWS($B$1:$B695)-1)*LEN($B$1))+1,LEN($B$1)))</f>
        <v/>
      </c>
    </row>
    <row r="696" spans="3:3" x14ac:dyDescent="0.15">
      <c r="C696" t="str">
        <f>TRIM(MID(SUBSTITUTE($B$1,",",REPT(" ",LEN($B$1))),((ROWS($B$1:$B696)-1)*LEN($B$1))+1,LEN($B$1)))</f>
        <v/>
      </c>
    </row>
    <row r="697" spans="3:3" x14ac:dyDescent="0.15">
      <c r="C697" t="str">
        <f>TRIM(MID(SUBSTITUTE($B$1,",",REPT(" ",LEN($B$1))),((ROWS($B$1:$B697)-1)*LEN($B$1))+1,LEN($B$1)))</f>
        <v/>
      </c>
    </row>
    <row r="698" spans="3:3" x14ac:dyDescent="0.15">
      <c r="C698" t="str">
        <f>TRIM(MID(SUBSTITUTE($B$1,",",REPT(" ",LEN($B$1))),((ROWS($B$1:$B698)-1)*LEN($B$1))+1,LEN($B$1)))</f>
        <v/>
      </c>
    </row>
    <row r="699" spans="3:3" x14ac:dyDescent="0.15">
      <c r="C699" t="str">
        <f>TRIM(MID(SUBSTITUTE($B$1,",",REPT(" ",LEN($B$1))),((ROWS($B$1:$B699)-1)*LEN($B$1))+1,LEN($B$1)))</f>
        <v/>
      </c>
    </row>
    <row r="700" spans="3:3" x14ac:dyDescent="0.15">
      <c r="C700" t="str">
        <f>TRIM(MID(SUBSTITUTE($B$1,",",REPT(" ",LEN($B$1))),((ROWS($B$1:$B700)-1)*LEN($B$1))+1,LEN($B$1)))</f>
        <v/>
      </c>
    </row>
    <row r="701" spans="3:3" x14ac:dyDescent="0.15">
      <c r="C701" t="str">
        <f>TRIM(MID(SUBSTITUTE($B$1,",",REPT(" ",LEN($B$1))),((ROWS($B$1:$B701)-1)*LEN($B$1))+1,LEN($B$1)))</f>
        <v/>
      </c>
    </row>
    <row r="702" spans="3:3" x14ac:dyDescent="0.15">
      <c r="C702" t="str">
        <f>TRIM(MID(SUBSTITUTE($B$1,",",REPT(" ",LEN($B$1))),((ROWS($B$1:$B702)-1)*LEN($B$1))+1,LEN($B$1)))</f>
        <v/>
      </c>
    </row>
    <row r="703" spans="3:3" x14ac:dyDescent="0.15">
      <c r="C703" t="str">
        <f>TRIM(MID(SUBSTITUTE($B$1,",",REPT(" ",LEN($B$1))),((ROWS($B$1:$B703)-1)*LEN($B$1))+1,LEN($B$1)))</f>
        <v/>
      </c>
    </row>
    <row r="704" spans="3:3" x14ac:dyDescent="0.15">
      <c r="C704" t="str">
        <f>TRIM(MID(SUBSTITUTE($B$1,",",REPT(" ",LEN($B$1))),((ROWS($B$1:$B704)-1)*LEN($B$1))+1,LEN($B$1)))</f>
        <v/>
      </c>
    </row>
    <row r="705" spans="3:3" x14ac:dyDescent="0.15">
      <c r="C705" t="str">
        <f>TRIM(MID(SUBSTITUTE($B$1,",",REPT(" ",LEN($B$1))),((ROWS($B$1:$B705)-1)*LEN($B$1))+1,LEN($B$1)))</f>
        <v/>
      </c>
    </row>
    <row r="706" spans="3:3" x14ac:dyDescent="0.15">
      <c r="C706" t="str">
        <f>TRIM(MID(SUBSTITUTE($B$1,",",REPT(" ",LEN($B$1))),((ROWS($B$1:$B706)-1)*LEN($B$1))+1,LEN($B$1)))</f>
        <v/>
      </c>
    </row>
    <row r="707" spans="3:3" x14ac:dyDescent="0.15">
      <c r="C707" t="str">
        <f>TRIM(MID(SUBSTITUTE($B$1,",",REPT(" ",LEN($B$1))),((ROWS($B$1:$B707)-1)*LEN($B$1))+1,LEN($B$1)))</f>
        <v/>
      </c>
    </row>
    <row r="708" spans="3:3" x14ac:dyDescent="0.15">
      <c r="C708" t="str">
        <f>TRIM(MID(SUBSTITUTE($B$1,",",REPT(" ",LEN($B$1))),((ROWS($B$1:$B708)-1)*LEN($B$1))+1,LEN($B$1)))</f>
        <v/>
      </c>
    </row>
    <row r="709" spans="3:3" x14ac:dyDescent="0.15">
      <c r="C709" t="str">
        <f>TRIM(MID(SUBSTITUTE($B$1,",",REPT(" ",LEN($B$1))),((ROWS($B$1:$B709)-1)*LEN($B$1))+1,LEN($B$1)))</f>
        <v/>
      </c>
    </row>
    <row r="710" spans="3:3" x14ac:dyDescent="0.15">
      <c r="C710" t="str">
        <f>TRIM(MID(SUBSTITUTE($B$1,",",REPT(" ",LEN($B$1))),((ROWS($B$1:$B710)-1)*LEN($B$1))+1,LEN($B$1)))</f>
        <v/>
      </c>
    </row>
    <row r="711" spans="3:3" x14ac:dyDescent="0.15">
      <c r="C711" t="str">
        <f>TRIM(MID(SUBSTITUTE($B$1,",",REPT(" ",LEN($B$1))),((ROWS($B$1:$B711)-1)*LEN($B$1))+1,LEN($B$1)))</f>
        <v/>
      </c>
    </row>
    <row r="712" spans="3:3" x14ac:dyDescent="0.15">
      <c r="C712" t="str">
        <f>TRIM(MID(SUBSTITUTE($B$1,",",REPT(" ",LEN($B$1))),((ROWS($B$1:$B712)-1)*LEN($B$1))+1,LEN($B$1)))</f>
        <v/>
      </c>
    </row>
    <row r="713" spans="3:3" x14ac:dyDescent="0.15">
      <c r="C713" t="str">
        <f>TRIM(MID(SUBSTITUTE($B$1,",",REPT(" ",LEN($B$1))),((ROWS($B$1:$B713)-1)*LEN($B$1))+1,LEN($B$1)))</f>
        <v/>
      </c>
    </row>
    <row r="714" spans="3:3" x14ac:dyDescent="0.15">
      <c r="C714" t="str">
        <f>TRIM(MID(SUBSTITUTE($B$1,",",REPT(" ",LEN($B$1))),((ROWS($B$1:$B714)-1)*LEN($B$1))+1,LEN($B$1)))</f>
        <v/>
      </c>
    </row>
    <row r="715" spans="3:3" x14ac:dyDescent="0.15">
      <c r="C715" t="str">
        <f>TRIM(MID(SUBSTITUTE($B$1,",",REPT(" ",LEN($B$1))),((ROWS($B$1:$B715)-1)*LEN($B$1))+1,LEN($B$1)))</f>
        <v/>
      </c>
    </row>
    <row r="716" spans="3:3" x14ac:dyDescent="0.15">
      <c r="C716" t="str">
        <f>TRIM(MID(SUBSTITUTE($B$1,",",REPT(" ",LEN($B$1))),((ROWS($B$1:$B716)-1)*LEN($B$1))+1,LEN($B$1)))</f>
        <v/>
      </c>
    </row>
    <row r="717" spans="3:3" x14ac:dyDescent="0.15">
      <c r="C717" t="str">
        <f>TRIM(MID(SUBSTITUTE($B$1,",",REPT(" ",LEN($B$1))),((ROWS($B$1:$B717)-1)*LEN($B$1))+1,LEN($B$1)))</f>
        <v/>
      </c>
    </row>
    <row r="718" spans="3:3" x14ac:dyDescent="0.15">
      <c r="C718" t="str">
        <f>TRIM(MID(SUBSTITUTE($B$1,",",REPT(" ",LEN($B$1))),((ROWS($B$1:$B718)-1)*LEN($B$1))+1,LEN($B$1)))</f>
        <v/>
      </c>
    </row>
    <row r="719" spans="3:3" x14ac:dyDescent="0.15">
      <c r="C719" t="str">
        <f>TRIM(MID(SUBSTITUTE($B$1,",",REPT(" ",LEN($B$1))),((ROWS($B$1:$B719)-1)*LEN($B$1))+1,LEN($B$1)))</f>
        <v/>
      </c>
    </row>
    <row r="720" spans="3:3" x14ac:dyDescent="0.15">
      <c r="C720" t="str">
        <f>TRIM(MID(SUBSTITUTE($B$1,",",REPT(" ",LEN($B$1))),((ROWS($B$1:$B720)-1)*LEN($B$1))+1,LEN($B$1)))</f>
        <v/>
      </c>
    </row>
    <row r="721" spans="3:3" x14ac:dyDescent="0.15">
      <c r="C721" t="str">
        <f>TRIM(MID(SUBSTITUTE($B$1,",",REPT(" ",LEN($B$1))),((ROWS($B$1:$B721)-1)*LEN($B$1))+1,LEN($B$1)))</f>
        <v/>
      </c>
    </row>
    <row r="722" spans="3:3" x14ac:dyDescent="0.15">
      <c r="C722" t="str">
        <f>TRIM(MID(SUBSTITUTE($B$1,",",REPT(" ",LEN($B$1))),((ROWS($B$1:$B722)-1)*LEN($B$1))+1,LEN($B$1)))</f>
        <v/>
      </c>
    </row>
    <row r="723" spans="3:3" x14ac:dyDescent="0.15">
      <c r="C723" t="str">
        <f>TRIM(MID(SUBSTITUTE($B$1,",",REPT(" ",LEN($B$1))),((ROWS($B$1:$B723)-1)*LEN($B$1))+1,LEN($B$1)))</f>
        <v/>
      </c>
    </row>
    <row r="724" spans="3:3" x14ac:dyDescent="0.15">
      <c r="C724" t="str">
        <f>TRIM(MID(SUBSTITUTE($B$1,",",REPT(" ",LEN($B$1))),((ROWS($B$1:$B724)-1)*LEN($B$1))+1,LEN($B$1)))</f>
        <v/>
      </c>
    </row>
    <row r="725" spans="3:3" x14ac:dyDescent="0.15">
      <c r="C725" t="str">
        <f>TRIM(MID(SUBSTITUTE($B$1,",",REPT(" ",LEN($B$1))),((ROWS($B$1:$B725)-1)*LEN($B$1))+1,LEN($B$1)))</f>
        <v/>
      </c>
    </row>
    <row r="726" spans="3:3" x14ac:dyDescent="0.15">
      <c r="C726" t="str">
        <f>TRIM(MID(SUBSTITUTE($B$1,",",REPT(" ",LEN($B$1))),((ROWS($B$1:$B726)-1)*LEN($B$1))+1,LEN($B$1)))</f>
        <v/>
      </c>
    </row>
    <row r="727" spans="3:3" x14ac:dyDescent="0.15">
      <c r="C727" t="str">
        <f>TRIM(MID(SUBSTITUTE($B$1,",",REPT(" ",LEN($B$1))),((ROWS($B$1:$B727)-1)*LEN($B$1))+1,LEN($B$1)))</f>
        <v/>
      </c>
    </row>
    <row r="728" spans="3:3" x14ac:dyDescent="0.15">
      <c r="C728" t="str">
        <f>TRIM(MID(SUBSTITUTE($B$1,",",REPT(" ",LEN($B$1))),((ROWS($B$1:$B728)-1)*LEN($B$1))+1,LEN($B$1)))</f>
        <v/>
      </c>
    </row>
    <row r="729" spans="3:3" x14ac:dyDescent="0.15">
      <c r="C729" t="str">
        <f>TRIM(MID(SUBSTITUTE($B$1,",",REPT(" ",LEN($B$1))),((ROWS($B$1:$B729)-1)*LEN($B$1))+1,LEN($B$1)))</f>
        <v/>
      </c>
    </row>
    <row r="730" spans="3:3" x14ac:dyDescent="0.15">
      <c r="C730" t="str">
        <f>TRIM(MID(SUBSTITUTE($B$1,",",REPT(" ",LEN($B$1))),((ROWS($B$1:$B730)-1)*LEN($B$1))+1,LEN($B$1)))</f>
        <v/>
      </c>
    </row>
    <row r="731" spans="3:3" x14ac:dyDescent="0.15">
      <c r="C731" t="str">
        <f>TRIM(MID(SUBSTITUTE($B$1,",",REPT(" ",LEN($B$1))),((ROWS($B$1:$B731)-1)*LEN($B$1))+1,LEN($B$1)))</f>
        <v/>
      </c>
    </row>
    <row r="732" spans="3:3" x14ac:dyDescent="0.15">
      <c r="C732" t="str">
        <f>TRIM(MID(SUBSTITUTE($B$1,",",REPT(" ",LEN($B$1))),((ROWS($B$1:$B732)-1)*LEN($B$1))+1,LEN($B$1)))</f>
        <v/>
      </c>
    </row>
    <row r="733" spans="3:3" x14ac:dyDescent="0.15">
      <c r="C733" t="str">
        <f>TRIM(MID(SUBSTITUTE($B$1,",",REPT(" ",LEN($B$1))),((ROWS($B$1:$B733)-1)*LEN($B$1))+1,LEN($B$1)))</f>
        <v/>
      </c>
    </row>
    <row r="734" spans="3:3" x14ac:dyDescent="0.15">
      <c r="C734" t="str">
        <f>TRIM(MID(SUBSTITUTE($B$1,",",REPT(" ",LEN($B$1))),((ROWS($B$1:$B734)-1)*LEN($B$1))+1,LEN($B$1)))</f>
        <v/>
      </c>
    </row>
    <row r="735" spans="3:3" x14ac:dyDescent="0.15">
      <c r="C735" t="str">
        <f>TRIM(MID(SUBSTITUTE($B$1,",",REPT(" ",LEN($B$1))),((ROWS($B$1:$B735)-1)*LEN($B$1))+1,LEN($B$1)))</f>
        <v/>
      </c>
    </row>
    <row r="736" spans="3:3" x14ac:dyDescent="0.15">
      <c r="C736" t="str">
        <f>TRIM(MID(SUBSTITUTE($B$1,",",REPT(" ",LEN($B$1))),((ROWS($B$1:$B736)-1)*LEN($B$1))+1,LEN($B$1)))</f>
        <v/>
      </c>
    </row>
    <row r="737" spans="3:3" x14ac:dyDescent="0.15">
      <c r="C737" t="str">
        <f>TRIM(MID(SUBSTITUTE($B$1,",",REPT(" ",LEN($B$1))),((ROWS($B$1:$B737)-1)*LEN($B$1))+1,LEN($B$1)))</f>
        <v/>
      </c>
    </row>
    <row r="738" spans="3:3" x14ac:dyDescent="0.15">
      <c r="C738" t="str">
        <f>TRIM(MID(SUBSTITUTE($B$1,",",REPT(" ",LEN($B$1))),((ROWS($B$1:$B738)-1)*LEN($B$1))+1,LEN($B$1)))</f>
        <v/>
      </c>
    </row>
    <row r="739" spans="3:3" x14ac:dyDescent="0.15">
      <c r="C739" t="str">
        <f>TRIM(MID(SUBSTITUTE($B$1,",",REPT(" ",LEN($B$1))),((ROWS($B$1:$B739)-1)*LEN($B$1))+1,LEN($B$1)))</f>
        <v/>
      </c>
    </row>
    <row r="740" spans="3:3" x14ac:dyDescent="0.15">
      <c r="C740" t="str">
        <f>TRIM(MID(SUBSTITUTE($B$1,",",REPT(" ",LEN($B$1))),((ROWS($B$1:$B740)-1)*LEN($B$1))+1,LEN($B$1)))</f>
        <v/>
      </c>
    </row>
    <row r="741" spans="3:3" x14ac:dyDescent="0.15">
      <c r="C741" t="str">
        <f>TRIM(MID(SUBSTITUTE($B$1,",",REPT(" ",LEN($B$1))),((ROWS($B$1:$B741)-1)*LEN($B$1))+1,LEN($B$1)))</f>
        <v/>
      </c>
    </row>
    <row r="742" spans="3:3" x14ac:dyDescent="0.15">
      <c r="C742" t="str">
        <f>TRIM(MID(SUBSTITUTE($B$1,",",REPT(" ",LEN($B$1))),((ROWS($B$1:$B742)-1)*LEN($B$1))+1,LEN($B$1)))</f>
        <v/>
      </c>
    </row>
    <row r="743" spans="3:3" x14ac:dyDescent="0.15">
      <c r="C743" t="str">
        <f>TRIM(MID(SUBSTITUTE($B$1,",",REPT(" ",LEN($B$1))),((ROWS($B$1:$B743)-1)*LEN($B$1))+1,LEN($B$1)))</f>
        <v/>
      </c>
    </row>
    <row r="744" spans="3:3" x14ac:dyDescent="0.15">
      <c r="C744" t="str">
        <f>TRIM(MID(SUBSTITUTE($B$1,",",REPT(" ",LEN($B$1))),((ROWS($B$1:$B744)-1)*LEN($B$1))+1,LEN($B$1)))</f>
        <v/>
      </c>
    </row>
    <row r="745" spans="3:3" x14ac:dyDescent="0.15">
      <c r="C745" t="str">
        <f>TRIM(MID(SUBSTITUTE($B$1,",",REPT(" ",LEN($B$1))),((ROWS($B$1:$B745)-1)*LEN($B$1))+1,LEN($B$1)))</f>
        <v/>
      </c>
    </row>
    <row r="746" spans="3:3" x14ac:dyDescent="0.15">
      <c r="C746" t="str">
        <f>TRIM(MID(SUBSTITUTE($B$1,",",REPT(" ",LEN($B$1))),((ROWS($B$1:$B746)-1)*LEN($B$1))+1,LEN($B$1)))</f>
        <v/>
      </c>
    </row>
    <row r="747" spans="3:3" x14ac:dyDescent="0.15">
      <c r="C747" t="str">
        <f>TRIM(MID(SUBSTITUTE($B$1,",",REPT(" ",LEN($B$1))),((ROWS($B$1:$B747)-1)*LEN($B$1))+1,LEN($B$1)))</f>
        <v/>
      </c>
    </row>
    <row r="748" spans="3:3" x14ac:dyDescent="0.15">
      <c r="C748" t="str">
        <f>TRIM(MID(SUBSTITUTE($B$1,",",REPT(" ",LEN($B$1))),((ROWS($B$1:$B748)-1)*LEN($B$1))+1,LEN($B$1)))</f>
        <v/>
      </c>
    </row>
    <row r="749" spans="3:3" x14ac:dyDescent="0.15">
      <c r="C749" t="str">
        <f>TRIM(MID(SUBSTITUTE($B$1,",",REPT(" ",LEN($B$1))),((ROWS($B$1:$B749)-1)*LEN($B$1))+1,LEN($B$1)))</f>
        <v/>
      </c>
    </row>
    <row r="750" spans="3:3" x14ac:dyDescent="0.15">
      <c r="C750" t="str">
        <f>TRIM(MID(SUBSTITUTE($B$1,",",REPT(" ",LEN($B$1))),((ROWS($B$1:$B750)-1)*LEN($B$1))+1,LEN($B$1)))</f>
        <v/>
      </c>
    </row>
    <row r="751" spans="3:3" x14ac:dyDescent="0.15">
      <c r="C751" t="str">
        <f>TRIM(MID(SUBSTITUTE($B$1,",",REPT(" ",LEN($B$1))),((ROWS($B$1:$B751)-1)*LEN($B$1))+1,LEN($B$1)))</f>
        <v/>
      </c>
    </row>
    <row r="752" spans="3:3" x14ac:dyDescent="0.15">
      <c r="C752" t="str">
        <f>TRIM(MID(SUBSTITUTE($B$1,",",REPT(" ",LEN($B$1))),((ROWS($B$1:$B752)-1)*LEN($B$1))+1,LEN($B$1)))</f>
        <v/>
      </c>
    </row>
    <row r="753" spans="3:3" x14ac:dyDescent="0.15">
      <c r="C753" t="str">
        <f>TRIM(MID(SUBSTITUTE($B$1,",",REPT(" ",LEN($B$1))),((ROWS($B$1:$B753)-1)*LEN($B$1))+1,LEN($B$1)))</f>
        <v/>
      </c>
    </row>
    <row r="754" spans="3:3" x14ac:dyDescent="0.15">
      <c r="C754" t="str">
        <f>TRIM(MID(SUBSTITUTE($B$1,",",REPT(" ",LEN($B$1))),((ROWS($B$1:$B754)-1)*LEN($B$1))+1,LEN($B$1)))</f>
        <v/>
      </c>
    </row>
    <row r="755" spans="3:3" x14ac:dyDescent="0.15">
      <c r="C755" t="str">
        <f>TRIM(MID(SUBSTITUTE($B$1,",",REPT(" ",LEN($B$1))),((ROWS($B$1:$B755)-1)*LEN($B$1))+1,LEN($B$1)))</f>
        <v/>
      </c>
    </row>
    <row r="756" spans="3:3" x14ac:dyDescent="0.15">
      <c r="C756" t="str">
        <f>TRIM(MID(SUBSTITUTE($B$1,",",REPT(" ",LEN($B$1))),((ROWS($B$1:$B756)-1)*LEN($B$1))+1,LEN($B$1)))</f>
        <v/>
      </c>
    </row>
    <row r="757" spans="3:3" x14ac:dyDescent="0.15">
      <c r="C757" t="str">
        <f>TRIM(MID(SUBSTITUTE($B$1,",",REPT(" ",LEN($B$1))),((ROWS($B$1:$B757)-1)*LEN($B$1))+1,LEN($B$1)))</f>
        <v/>
      </c>
    </row>
    <row r="758" spans="3:3" x14ac:dyDescent="0.15">
      <c r="C758" t="str">
        <f>TRIM(MID(SUBSTITUTE($B$1,",",REPT(" ",LEN($B$1))),((ROWS($B$1:$B758)-1)*LEN($B$1))+1,LEN($B$1)))</f>
        <v/>
      </c>
    </row>
    <row r="759" spans="3:3" x14ac:dyDescent="0.15">
      <c r="C759" t="str">
        <f>TRIM(MID(SUBSTITUTE($B$1,",",REPT(" ",LEN($B$1))),((ROWS($B$1:$B759)-1)*LEN($B$1))+1,LEN($B$1)))</f>
        <v/>
      </c>
    </row>
    <row r="760" spans="3:3" x14ac:dyDescent="0.15">
      <c r="C760" t="str">
        <f>TRIM(MID(SUBSTITUTE($B$1,",",REPT(" ",LEN($B$1))),((ROWS($B$1:$B760)-1)*LEN($B$1))+1,LEN($B$1)))</f>
        <v/>
      </c>
    </row>
    <row r="761" spans="3:3" x14ac:dyDescent="0.15">
      <c r="C761" t="str">
        <f>TRIM(MID(SUBSTITUTE($B$1,",",REPT(" ",LEN($B$1))),((ROWS($B$1:$B761)-1)*LEN($B$1))+1,LEN($B$1)))</f>
        <v/>
      </c>
    </row>
    <row r="762" spans="3:3" x14ac:dyDescent="0.15">
      <c r="C762" t="str">
        <f>TRIM(MID(SUBSTITUTE($B$1,",",REPT(" ",LEN($B$1))),((ROWS($B$1:$B762)-1)*LEN($B$1))+1,LEN($B$1)))</f>
        <v/>
      </c>
    </row>
    <row r="763" spans="3:3" x14ac:dyDescent="0.15">
      <c r="C763" t="str">
        <f>TRIM(MID(SUBSTITUTE($B$1,",",REPT(" ",LEN($B$1))),((ROWS($B$1:$B763)-1)*LEN($B$1))+1,LEN($B$1)))</f>
        <v/>
      </c>
    </row>
    <row r="764" spans="3:3" x14ac:dyDescent="0.15">
      <c r="C764" t="str">
        <f>TRIM(MID(SUBSTITUTE($B$1,",",REPT(" ",LEN($B$1))),((ROWS($B$1:$B764)-1)*LEN($B$1))+1,LEN($B$1)))</f>
        <v/>
      </c>
    </row>
    <row r="765" spans="3:3" x14ac:dyDescent="0.15">
      <c r="C765" t="str">
        <f>TRIM(MID(SUBSTITUTE($B$1,",",REPT(" ",LEN($B$1))),((ROWS($B$1:$B765)-1)*LEN($B$1))+1,LEN($B$1)))</f>
        <v/>
      </c>
    </row>
    <row r="766" spans="3:3" x14ac:dyDescent="0.15">
      <c r="C766" t="str">
        <f>TRIM(MID(SUBSTITUTE($B$1,",",REPT(" ",LEN($B$1))),((ROWS($B$1:$B766)-1)*LEN($B$1))+1,LEN($B$1)))</f>
        <v/>
      </c>
    </row>
    <row r="767" spans="3:3" x14ac:dyDescent="0.15">
      <c r="C767" t="str">
        <f>TRIM(MID(SUBSTITUTE($B$1,",",REPT(" ",LEN($B$1))),((ROWS($B$1:$B767)-1)*LEN($B$1))+1,LEN($B$1)))</f>
        <v/>
      </c>
    </row>
    <row r="768" spans="3:3" x14ac:dyDescent="0.15">
      <c r="C768" t="str">
        <f>TRIM(MID(SUBSTITUTE($B$1,",",REPT(" ",LEN($B$1))),((ROWS($B$1:$B768)-1)*LEN($B$1))+1,LEN($B$1)))</f>
        <v/>
      </c>
    </row>
    <row r="769" spans="3:3" x14ac:dyDescent="0.15">
      <c r="C769" t="str">
        <f>TRIM(MID(SUBSTITUTE($B$1,",",REPT(" ",LEN($B$1))),((ROWS($B$1:$B769)-1)*LEN($B$1))+1,LEN($B$1)))</f>
        <v/>
      </c>
    </row>
    <row r="770" spans="3:3" x14ac:dyDescent="0.15">
      <c r="C770" t="str">
        <f>TRIM(MID(SUBSTITUTE($B$1,",",REPT(" ",LEN($B$1))),((ROWS($B$1:$B770)-1)*LEN($B$1))+1,LEN($B$1)))</f>
        <v/>
      </c>
    </row>
    <row r="771" spans="3:3" x14ac:dyDescent="0.15">
      <c r="C771" t="str">
        <f>TRIM(MID(SUBSTITUTE($B$1,",",REPT(" ",LEN($B$1))),((ROWS($B$1:$B771)-1)*LEN($B$1))+1,LEN($B$1)))</f>
        <v/>
      </c>
    </row>
    <row r="772" spans="3:3" x14ac:dyDescent="0.15">
      <c r="C772" t="str">
        <f>TRIM(MID(SUBSTITUTE($B$1,",",REPT(" ",LEN($B$1))),((ROWS($B$1:$B772)-1)*LEN($B$1))+1,LEN($B$1)))</f>
        <v/>
      </c>
    </row>
    <row r="773" spans="3:3" x14ac:dyDescent="0.15">
      <c r="C773" t="str">
        <f>TRIM(MID(SUBSTITUTE($B$1,",",REPT(" ",LEN($B$1))),((ROWS($B$1:$B773)-1)*LEN($B$1))+1,LEN($B$1)))</f>
        <v/>
      </c>
    </row>
    <row r="774" spans="3:3" x14ac:dyDescent="0.15">
      <c r="C774" t="str">
        <f>TRIM(MID(SUBSTITUTE($B$1,",",REPT(" ",LEN($B$1))),((ROWS($B$1:$B774)-1)*LEN($B$1))+1,LEN($B$1)))</f>
        <v/>
      </c>
    </row>
    <row r="775" spans="3:3" x14ac:dyDescent="0.15">
      <c r="C775" t="str">
        <f>TRIM(MID(SUBSTITUTE($B$1,",",REPT(" ",LEN($B$1))),((ROWS($B$1:$B775)-1)*LEN($B$1))+1,LEN($B$1)))</f>
        <v/>
      </c>
    </row>
    <row r="776" spans="3:3" x14ac:dyDescent="0.15">
      <c r="C776" t="str">
        <f>TRIM(MID(SUBSTITUTE($B$1,",",REPT(" ",LEN($B$1))),((ROWS($B$1:$B776)-1)*LEN($B$1))+1,LEN($B$1)))</f>
        <v/>
      </c>
    </row>
    <row r="777" spans="3:3" x14ac:dyDescent="0.15">
      <c r="C777" t="str">
        <f>TRIM(MID(SUBSTITUTE($B$1,",",REPT(" ",LEN($B$1))),((ROWS($B$1:$B777)-1)*LEN($B$1))+1,LEN($B$1)))</f>
        <v/>
      </c>
    </row>
    <row r="778" spans="3:3" x14ac:dyDescent="0.15">
      <c r="C778" t="str">
        <f>TRIM(MID(SUBSTITUTE($B$1,",",REPT(" ",LEN($B$1))),((ROWS($B$1:$B778)-1)*LEN($B$1))+1,LEN($B$1)))</f>
        <v/>
      </c>
    </row>
    <row r="779" spans="3:3" x14ac:dyDescent="0.15">
      <c r="C779" t="str">
        <f>TRIM(MID(SUBSTITUTE($B$1,",",REPT(" ",LEN($B$1))),((ROWS($B$1:$B779)-1)*LEN($B$1))+1,LEN($B$1)))</f>
        <v/>
      </c>
    </row>
    <row r="780" spans="3:3" x14ac:dyDescent="0.15">
      <c r="C780" t="str">
        <f>TRIM(MID(SUBSTITUTE($B$1,",",REPT(" ",LEN($B$1))),((ROWS($B$1:$B780)-1)*LEN($B$1))+1,LEN($B$1)))</f>
        <v/>
      </c>
    </row>
    <row r="781" spans="3:3" x14ac:dyDescent="0.15">
      <c r="C781" t="str">
        <f>TRIM(MID(SUBSTITUTE($B$1,",",REPT(" ",LEN($B$1))),((ROWS($B$1:$B781)-1)*LEN($B$1))+1,LEN($B$1)))</f>
        <v/>
      </c>
    </row>
    <row r="782" spans="3:3" x14ac:dyDescent="0.15">
      <c r="C782" t="str">
        <f>TRIM(MID(SUBSTITUTE($B$1,",",REPT(" ",LEN($B$1))),((ROWS($B$1:$B782)-1)*LEN($B$1))+1,LEN($B$1)))</f>
        <v/>
      </c>
    </row>
    <row r="783" spans="3:3" x14ac:dyDescent="0.15">
      <c r="C783" t="str">
        <f>TRIM(MID(SUBSTITUTE($B$1,",",REPT(" ",LEN($B$1))),((ROWS($B$1:$B783)-1)*LEN($B$1))+1,LEN($B$1)))</f>
        <v/>
      </c>
    </row>
    <row r="784" spans="3:3" x14ac:dyDescent="0.15">
      <c r="C784" t="str">
        <f>TRIM(MID(SUBSTITUTE($B$1,",",REPT(" ",LEN($B$1))),((ROWS($B$1:$B784)-1)*LEN($B$1))+1,LEN($B$1)))</f>
        <v/>
      </c>
    </row>
    <row r="785" spans="3:3" x14ac:dyDescent="0.15">
      <c r="C785" t="str">
        <f>TRIM(MID(SUBSTITUTE($B$1,",",REPT(" ",LEN($B$1))),((ROWS($B$1:$B785)-1)*LEN($B$1))+1,LEN($B$1)))</f>
        <v/>
      </c>
    </row>
    <row r="786" spans="3:3" x14ac:dyDescent="0.15">
      <c r="C786" t="str">
        <f>TRIM(MID(SUBSTITUTE($B$1,",",REPT(" ",LEN($B$1))),((ROWS($B$1:$B786)-1)*LEN($B$1))+1,LEN($B$1)))</f>
        <v/>
      </c>
    </row>
    <row r="787" spans="3:3" x14ac:dyDescent="0.15">
      <c r="C787" t="str">
        <f>TRIM(MID(SUBSTITUTE($B$1,",",REPT(" ",LEN($B$1))),((ROWS($B$1:$B787)-1)*LEN($B$1))+1,LEN($B$1)))</f>
        <v/>
      </c>
    </row>
    <row r="788" spans="3:3" x14ac:dyDescent="0.15">
      <c r="C788" t="str">
        <f>TRIM(MID(SUBSTITUTE($B$1,",",REPT(" ",LEN($B$1))),((ROWS($B$1:$B788)-1)*LEN($B$1))+1,LEN($B$1)))</f>
        <v/>
      </c>
    </row>
    <row r="789" spans="3:3" x14ac:dyDescent="0.15">
      <c r="C789" t="str">
        <f>TRIM(MID(SUBSTITUTE($B$1,",",REPT(" ",LEN($B$1))),((ROWS($B$1:$B789)-1)*LEN($B$1))+1,LEN($B$1)))</f>
        <v/>
      </c>
    </row>
    <row r="790" spans="3:3" x14ac:dyDescent="0.15">
      <c r="C790" t="str">
        <f>TRIM(MID(SUBSTITUTE($B$1,",",REPT(" ",LEN($B$1))),((ROWS($B$1:$B790)-1)*LEN($B$1))+1,LEN($B$1)))</f>
        <v/>
      </c>
    </row>
    <row r="791" spans="3:3" x14ac:dyDescent="0.15">
      <c r="C791" t="str">
        <f>TRIM(MID(SUBSTITUTE($B$1,",",REPT(" ",LEN($B$1))),((ROWS($B$1:$B791)-1)*LEN($B$1))+1,LEN($B$1)))</f>
        <v/>
      </c>
    </row>
    <row r="792" spans="3:3" x14ac:dyDescent="0.15">
      <c r="C792" t="str">
        <f>TRIM(MID(SUBSTITUTE($B$1,",",REPT(" ",LEN($B$1))),((ROWS($B$1:$B792)-1)*LEN($B$1))+1,LEN($B$1)))</f>
        <v/>
      </c>
    </row>
    <row r="793" spans="3:3" x14ac:dyDescent="0.15">
      <c r="C793" t="str">
        <f>TRIM(MID(SUBSTITUTE($B$1,",",REPT(" ",LEN($B$1))),((ROWS($B$1:$B793)-1)*LEN($B$1))+1,LEN($B$1)))</f>
        <v/>
      </c>
    </row>
    <row r="794" spans="3:3" x14ac:dyDescent="0.15">
      <c r="C794" t="str">
        <f>TRIM(MID(SUBSTITUTE($B$1,",",REPT(" ",LEN($B$1))),((ROWS($B$1:$B794)-1)*LEN($B$1))+1,LEN($B$1)))</f>
        <v/>
      </c>
    </row>
    <row r="795" spans="3:3" x14ac:dyDescent="0.15">
      <c r="C795" t="str">
        <f>TRIM(MID(SUBSTITUTE($B$1,",",REPT(" ",LEN($B$1))),((ROWS($B$1:$B795)-1)*LEN($B$1))+1,LEN($B$1)))</f>
        <v/>
      </c>
    </row>
    <row r="796" spans="3:3" x14ac:dyDescent="0.15">
      <c r="C796" t="str">
        <f>TRIM(MID(SUBSTITUTE($B$1,",",REPT(" ",LEN($B$1))),((ROWS($B$1:$B796)-1)*LEN($B$1))+1,LEN($B$1)))</f>
        <v/>
      </c>
    </row>
    <row r="797" spans="3:3" x14ac:dyDescent="0.15">
      <c r="C797" t="str">
        <f>TRIM(MID(SUBSTITUTE($B$1,",",REPT(" ",LEN($B$1))),((ROWS($B$1:$B797)-1)*LEN($B$1))+1,LEN($B$1)))</f>
        <v/>
      </c>
    </row>
    <row r="798" spans="3:3" x14ac:dyDescent="0.15">
      <c r="C798" t="str">
        <f>TRIM(MID(SUBSTITUTE($B$1,",",REPT(" ",LEN($B$1))),((ROWS($B$1:$B798)-1)*LEN($B$1))+1,LEN($B$1)))</f>
        <v/>
      </c>
    </row>
    <row r="799" spans="3:3" x14ac:dyDescent="0.15">
      <c r="C799" t="str">
        <f>TRIM(MID(SUBSTITUTE($B$1,",",REPT(" ",LEN($B$1))),((ROWS($B$1:$B799)-1)*LEN($B$1))+1,LEN($B$1)))</f>
        <v/>
      </c>
    </row>
    <row r="800" spans="3:3" x14ac:dyDescent="0.15">
      <c r="C800" t="str">
        <f>TRIM(MID(SUBSTITUTE($B$1,",",REPT(" ",LEN($B$1))),((ROWS($B$1:$B800)-1)*LEN($B$1))+1,LEN($B$1)))</f>
        <v/>
      </c>
    </row>
    <row r="801" spans="3:3" x14ac:dyDescent="0.15">
      <c r="C801" t="str">
        <f>TRIM(MID(SUBSTITUTE($B$1,",",REPT(" ",LEN($B$1))),((ROWS($B$1:$B801)-1)*LEN($B$1))+1,LEN($B$1)))</f>
        <v/>
      </c>
    </row>
    <row r="802" spans="3:3" x14ac:dyDescent="0.15">
      <c r="C802" t="str">
        <f>TRIM(MID(SUBSTITUTE($B$1,",",REPT(" ",LEN($B$1))),((ROWS($B$1:$B802)-1)*LEN($B$1))+1,LEN($B$1)))</f>
        <v/>
      </c>
    </row>
    <row r="803" spans="3:3" x14ac:dyDescent="0.15">
      <c r="C803" t="str">
        <f>TRIM(MID(SUBSTITUTE($B$1,",",REPT(" ",LEN($B$1))),((ROWS($B$1:$B803)-1)*LEN($B$1))+1,LEN($B$1)))</f>
        <v/>
      </c>
    </row>
    <row r="804" spans="3:3" x14ac:dyDescent="0.15">
      <c r="C804" t="str">
        <f>TRIM(MID(SUBSTITUTE($B$1,",",REPT(" ",LEN($B$1))),((ROWS($B$1:$B804)-1)*LEN($B$1))+1,LEN($B$1)))</f>
        <v/>
      </c>
    </row>
    <row r="805" spans="3:3" x14ac:dyDescent="0.15">
      <c r="C805" t="str">
        <f>TRIM(MID(SUBSTITUTE($B$1,",",REPT(" ",LEN($B$1))),((ROWS($B$1:$B805)-1)*LEN($B$1))+1,LEN($B$1)))</f>
        <v/>
      </c>
    </row>
    <row r="806" spans="3:3" x14ac:dyDescent="0.15">
      <c r="C806" t="str">
        <f>TRIM(MID(SUBSTITUTE($B$1,",",REPT(" ",LEN($B$1))),((ROWS($B$1:$B806)-1)*LEN($B$1))+1,LEN($B$1)))</f>
        <v/>
      </c>
    </row>
    <row r="807" spans="3:3" x14ac:dyDescent="0.15">
      <c r="C807" t="str">
        <f>TRIM(MID(SUBSTITUTE($B$1,",",REPT(" ",LEN($B$1))),((ROWS($B$1:$B807)-1)*LEN($B$1))+1,LEN($B$1)))</f>
        <v/>
      </c>
    </row>
    <row r="808" spans="3:3" x14ac:dyDescent="0.15">
      <c r="C808" t="str">
        <f>TRIM(MID(SUBSTITUTE($B$1,",",REPT(" ",LEN($B$1))),((ROWS($B$1:$B808)-1)*LEN($B$1))+1,LEN($B$1)))</f>
        <v/>
      </c>
    </row>
    <row r="809" spans="3:3" x14ac:dyDescent="0.15">
      <c r="C809" t="str">
        <f>TRIM(MID(SUBSTITUTE($B$1,",",REPT(" ",LEN($B$1))),((ROWS($B$1:$B809)-1)*LEN($B$1))+1,LEN($B$1)))</f>
        <v/>
      </c>
    </row>
    <row r="810" spans="3:3" x14ac:dyDescent="0.15">
      <c r="C810" t="str">
        <f>TRIM(MID(SUBSTITUTE($B$1,",",REPT(" ",LEN($B$1))),((ROWS($B$1:$B810)-1)*LEN($B$1))+1,LEN($B$1)))</f>
        <v/>
      </c>
    </row>
    <row r="811" spans="3:3" x14ac:dyDescent="0.15">
      <c r="C811" t="str">
        <f>TRIM(MID(SUBSTITUTE($B$1,",",REPT(" ",LEN($B$1))),((ROWS($B$1:$B811)-1)*LEN($B$1))+1,LEN($B$1)))</f>
        <v/>
      </c>
    </row>
    <row r="812" spans="3:3" x14ac:dyDescent="0.15">
      <c r="C812" t="str">
        <f>TRIM(MID(SUBSTITUTE($B$1,",",REPT(" ",LEN($B$1))),((ROWS($B$1:$B812)-1)*LEN($B$1))+1,LEN($B$1)))</f>
        <v/>
      </c>
    </row>
    <row r="813" spans="3:3" x14ac:dyDescent="0.15">
      <c r="C813" t="str">
        <f>TRIM(MID(SUBSTITUTE($B$1,",",REPT(" ",LEN($B$1))),((ROWS($B$1:$B813)-1)*LEN($B$1))+1,LEN($B$1)))</f>
        <v/>
      </c>
    </row>
    <row r="814" spans="3:3" x14ac:dyDescent="0.15">
      <c r="C814" t="str">
        <f>TRIM(MID(SUBSTITUTE($B$1,",",REPT(" ",LEN($B$1))),((ROWS($B$1:$B814)-1)*LEN($B$1))+1,LEN($B$1)))</f>
        <v/>
      </c>
    </row>
    <row r="815" spans="3:3" x14ac:dyDescent="0.15">
      <c r="C815" t="str">
        <f>TRIM(MID(SUBSTITUTE($B$1,",",REPT(" ",LEN($B$1))),((ROWS($B$1:$B815)-1)*LEN($B$1))+1,LEN($B$1)))</f>
        <v/>
      </c>
    </row>
    <row r="816" spans="3:3" x14ac:dyDescent="0.15">
      <c r="C816" t="str">
        <f>TRIM(MID(SUBSTITUTE($B$1,",",REPT(" ",LEN($B$1))),((ROWS($B$1:$B816)-1)*LEN($B$1))+1,LEN($B$1)))</f>
        <v/>
      </c>
    </row>
    <row r="817" spans="3:3" x14ac:dyDescent="0.15">
      <c r="C817" t="str">
        <f>TRIM(MID(SUBSTITUTE($B$1,",",REPT(" ",LEN($B$1))),((ROWS($B$1:$B817)-1)*LEN($B$1))+1,LEN($B$1)))</f>
        <v/>
      </c>
    </row>
    <row r="818" spans="3:3" x14ac:dyDescent="0.15">
      <c r="C818" t="str">
        <f>TRIM(MID(SUBSTITUTE($B$1,",",REPT(" ",LEN($B$1))),((ROWS($B$1:$B818)-1)*LEN($B$1))+1,LEN($B$1)))</f>
        <v/>
      </c>
    </row>
    <row r="819" spans="3:3" x14ac:dyDescent="0.15">
      <c r="C819" t="str">
        <f>TRIM(MID(SUBSTITUTE($B$1,",",REPT(" ",LEN($B$1))),((ROWS($B$1:$B819)-1)*LEN($B$1))+1,LEN($B$1)))</f>
        <v/>
      </c>
    </row>
    <row r="820" spans="3:3" x14ac:dyDescent="0.15">
      <c r="C820" t="str">
        <f>TRIM(MID(SUBSTITUTE($B$1,",",REPT(" ",LEN($B$1))),((ROWS($B$1:$B820)-1)*LEN($B$1))+1,LEN($B$1)))</f>
        <v/>
      </c>
    </row>
    <row r="821" spans="3:3" x14ac:dyDescent="0.15">
      <c r="C821" t="str">
        <f>TRIM(MID(SUBSTITUTE($B$1,",",REPT(" ",LEN($B$1))),((ROWS($B$1:$B821)-1)*LEN($B$1))+1,LEN($B$1)))</f>
        <v/>
      </c>
    </row>
    <row r="822" spans="3:3" x14ac:dyDescent="0.15">
      <c r="C822" t="str">
        <f>TRIM(MID(SUBSTITUTE($B$1,",",REPT(" ",LEN($B$1))),((ROWS($B$1:$B822)-1)*LEN($B$1))+1,LEN($B$1)))</f>
        <v/>
      </c>
    </row>
    <row r="823" spans="3:3" x14ac:dyDescent="0.15">
      <c r="C823" t="str">
        <f>TRIM(MID(SUBSTITUTE($B$1,",",REPT(" ",LEN($B$1))),((ROWS($B$1:$B823)-1)*LEN($B$1))+1,LEN($B$1)))</f>
        <v/>
      </c>
    </row>
    <row r="824" spans="3:3" x14ac:dyDescent="0.15">
      <c r="C824" t="str">
        <f>TRIM(MID(SUBSTITUTE($B$1,",",REPT(" ",LEN($B$1))),((ROWS($B$1:$B824)-1)*LEN($B$1))+1,LEN($B$1)))</f>
        <v/>
      </c>
    </row>
    <row r="825" spans="3:3" x14ac:dyDescent="0.15">
      <c r="C825" t="str">
        <f>TRIM(MID(SUBSTITUTE($B$1,",",REPT(" ",LEN($B$1))),((ROWS($B$1:$B825)-1)*LEN($B$1))+1,LEN($B$1)))</f>
        <v/>
      </c>
    </row>
    <row r="826" spans="3:3" x14ac:dyDescent="0.15">
      <c r="C826" t="str">
        <f>TRIM(MID(SUBSTITUTE($B$1,",",REPT(" ",LEN($B$1))),((ROWS($B$1:$B826)-1)*LEN($B$1))+1,LEN($B$1)))</f>
        <v/>
      </c>
    </row>
    <row r="827" spans="3:3" x14ac:dyDescent="0.15">
      <c r="C827" t="str">
        <f>TRIM(MID(SUBSTITUTE($B$1,",",REPT(" ",LEN($B$1))),((ROWS($B$1:$B827)-1)*LEN($B$1))+1,LEN($B$1)))</f>
        <v/>
      </c>
    </row>
    <row r="828" spans="3:3" x14ac:dyDescent="0.15">
      <c r="C828" t="str">
        <f>TRIM(MID(SUBSTITUTE($B$1,",",REPT(" ",LEN($B$1))),((ROWS($B$1:$B828)-1)*LEN($B$1))+1,LEN($B$1)))</f>
        <v/>
      </c>
    </row>
    <row r="829" spans="3:3" x14ac:dyDescent="0.15">
      <c r="C829" t="str">
        <f>TRIM(MID(SUBSTITUTE($B$1,",",REPT(" ",LEN($B$1))),((ROWS($B$1:$B829)-1)*LEN($B$1))+1,LEN($B$1)))</f>
        <v/>
      </c>
    </row>
    <row r="830" spans="3:3" x14ac:dyDescent="0.15">
      <c r="C830" t="str">
        <f>TRIM(MID(SUBSTITUTE($B$1,",",REPT(" ",LEN($B$1))),((ROWS($B$1:$B830)-1)*LEN($B$1))+1,LEN($B$1)))</f>
        <v/>
      </c>
    </row>
    <row r="831" spans="3:3" x14ac:dyDescent="0.15">
      <c r="C831" t="str">
        <f>TRIM(MID(SUBSTITUTE($B$1,",",REPT(" ",LEN($B$1))),((ROWS($B$1:$B831)-1)*LEN($B$1))+1,LEN($B$1)))</f>
        <v/>
      </c>
    </row>
    <row r="832" spans="3:3" x14ac:dyDescent="0.15">
      <c r="C832" t="str">
        <f>TRIM(MID(SUBSTITUTE($B$1,",",REPT(" ",LEN($B$1))),((ROWS($B$1:$B832)-1)*LEN($B$1))+1,LEN($B$1)))</f>
        <v/>
      </c>
    </row>
    <row r="833" spans="3:3" x14ac:dyDescent="0.15">
      <c r="C833" t="str">
        <f>TRIM(MID(SUBSTITUTE($B$1,",",REPT(" ",LEN($B$1))),((ROWS($B$1:$B833)-1)*LEN($B$1))+1,LEN($B$1)))</f>
        <v/>
      </c>
    </row>
    <row r="834" spans="3:3" x14ac:dyDescent="0.15">
      <c r="C834" t="str">
        <f>TRIM(MID(SUBSTITUTE($B$1,",",REPT(" ",LEN($B$1))),((ROWS($B$1:$B834)-1)*LEN($B$1))+1,LEN($B$1)))</f>
        <v/>
      </c>
    </row>
    <row r="835" spans="3:3" x14ac:dyDescent="0.15">
      <c r="C835" t="str">
        <f>TRIM(MID(SUBSTITUTE($B$1,",",REPT(" ",LEN($B$1))),((ROWS($B$1:$B835)-1)*LEN($B$1))+1,LEN($B$1)))</f>
        <v/>
      </c>
    </row>
    <row r="836" spans="3:3" x14ac:dyDescent="0.15">
      <c r="C836" t="str">
        <f>TRIM(MID(SUBSTITUTE($B$1,",",REPT(" ",LEN($B$1))),((ROWS($B$1:$B836)-1)*LEN($B$1))+1,LEN($B$1)))</f>
        <v/>
      </c>
    </row>
    <row r="837" spans="3:3" x14ac:dyDescent="0.15">
      <c r="C837" t="str">
        <f>TRIM(MID(SUBSTITUTE($B$1,",",REPT(" ",LEN($B$1))),((ROWS($B$1:$B837)-1)*LEN($B$1))+1,LEN($B$1)))</f>
        <v/>
      </c>
    </row>
    <row r="838" spans="3:3" x14ac:dyDescent="0.15">
      <c r="C838" t="str">
        <f>TRIM(MID(SUBSTITUTE($B$1,",",REPT(" ",LEN($B$1))),((ROWS($B$1:$B838)-1)*LEN($B$1))+1,LEN($B$1)))</f>
        <v/>
      </c>
    </row>
    <row r="839" spans="3:3" x14ac:dyDescent="0.15">
      <c r="C839" t="str">
        <f>TRIM(MID(SUBSTITUTE($B$1,",",REPT(" ",LEN($B$1))),((ROWS($B$1:$B839)-1)*LEN($B$1))+1,LEN($B$1)))</f>
        <v/>
      </c>
    </row>
    <row r="840" spans="3:3" x14ac:dyDescent="0.15">
      <c r="C840" t="str">
        <f>TRIM(MID(SUBSTITUTE($B$1,",",REPT(" ",LEN($B$1))),((ROWS($B$1:$B840)-1)*LEN($B$1))+1,LEN($B$1)))</f>
        <v/>
      </c>
    </row>
    <row r="841" spans="3:3" x14ac:dyDescent="0.15">
      <c r="C841" t="str">
        <f>TRIM(MID(SUBSTITUTE($B$1,",",REPT(" ",LEN($B$1))),((ROWS($B$1:$B841)-1)*LEN($B$1))+1,LEN($B$1)))</f>
        <v/>
      </c>
    </row>
    <row r="842" spans="3:3" x14ac:dyDescent="0.15">
      <c r="C842" t="str">
        <f>TRIM(MID(SUBSTITUTE($B$1,",",REPT(" ",LEN($B$1))),((ROWS($B$1:$B842)-1)*LEN($B$1))+1,LEN($B$1)))</f>
        <v/>
      </c>
    </row>
    <row r="843" spans="3:3" x14ac:dyDescent="0.15">
      <c r="C843" t="str">
        <f>TRIM(MID(SUBSTITUTE($B$1,",",REPT(" ",LEN($B$1))),((ROWS($B$1:$B843)-1)*LEN($B$1))+1,LEN($B$1)))</f>
        <v/>
      </c>
    </row>
    <row r="844" spans="3:3" x14ac:dyDescent="0.15">
      <c r="C844" t="str">
        <f>TRIM(MID(SUBSTITUTE($B$1,",",REPT(" ",LEN($B$1))),((ROWS($B$1:$B844)-1)*LEN($B$1))+1,LEN($B$1)))</f>
        <v/>
      </c>
    </row>
    <row r="845" spans="3:3" x14ac:dyDescent="0.15">
      <c r="C845" t="str">
        <f>TRIM(MID(SUBSTITUTE($B$1,",",REPT(" ",LEN($B$1))),((ROWS($B$1:$B845)-1)*LEN($B$1))+1,LEN($B$1)))</f>
        <v/>
      </c>
    </row>
    <row r="846" spans="3:3" x14ac:dyDescent="0.15">
      <c r="C846" t="str">
        <f>TRIM(MID(SUBSTITUTE($B$1,",",REPT(" ",LEN($B$1))),((ROWS($B$1:$B846)-1)*LEN($B$1))+1,LEN($B$1)))</f>
        <v/>
      </c>
    </row>
    <row r="847" spans="3:3" x14ac:dyDescent="0.15">
      <c r="C847" t="str">
        <f>TRIM(MID(SUBSTITUTE($B$1,",",REPT(" ",LEN($B$1))),((ROWS($B$1:$B847)-1)*LEN($B$1))+1,LEN($B$1)))</f>
        <v/>
      </c>
    </row>
    <row r="848" spans="3:3" x14ac:dyDescent="0.15">
      <c r="C848" t="str">
        <f>TRIM(MID(SUBSTITUTE($B$1,",",REPT(" ",LEN($B$1))),((ROWS($B$1:$B848)-1)*LEN($B$1))+1,LEN($B$1)))</f>
        <v/>
      </c>
    </row>
    <row r="849" spans="3:3" x14ac:dyDescent="0.15">
      <c r="C849" t="str">
        <f>TRIM(MID(SUBSTITUTE($B$1,",",REPT(" ",LEN($B$1))),((ROWS($B$1:$B849)-1)*LEN($B$1))+1,LEN($B$1)))</f>
        <v/>
      </c>
    </row>
    <row r="850" spans="3:3" x14ac:dyDescent="0.15">
      <c r="C850" t="str">
        <f>TRIM(MID(SUBSTITUTE($B$1,",",REPT(" ",LEN($B$1))),((ROWS($B$1:$B850)-1)*LEN($B$1))+1,LEN($B$1)))</f>
        <v/>
      </c>
    </row>
    <row r="851" spans="3:3" x14ac:dyDescent="0.15">
      <c r="C851" t="str">
        <f>TRIM(MID(SUBSTITUTE($B$1,",",REPT(" ",LEN($B$1))),((ROWS($B$1:$B851)-1)*LEN($B$1))+1,LEN($B$1)))</f>
        <v/>
      </c>
    </row>
    <row r="852" spans="3:3" x14ac:dyDescent="0.15">
      <c r="C852" t="str">
        <f>TRIM(MID(SUBSTITUTE($B$1,",",REPT(" ",LEN($B$1))),((ROWS($B$1:$B852)-1)*LEN($B$1))+1,LEN($B$1)))</f>
        <v/>
      </c>
    </row>
    <row r="853" spans="3:3" x14ac:dyDescent="0.15">
      <c r="C853" t="str">
        <f>TRIM(MID(SUBSTITUTE($B$1,",",REPT(" ",LEN($B$1))),((ROWS($B$1:$B853)-1)*LEN($B$1))+1,LEN($B$1)))</f>
        <v/>
      </c>
    </row>
    <row r="854" spans="3:3" x14ac:dyDescent="0.15">
      <c r="C854" t="str">
        <f>TRIM(MID(SUBSTITUTE($B$1,",",REPT(" ",LEN($B$1))),((ROWS($B$1:$B854)-1)*LEN($B$1))+1,LEN($B$1)))</f>
        <v/>
      </c>
    </row>
    <row r="855" spans="3:3" x14ac:dyDescent="0.15">
      <c r="C855" t="str">
        <f>TRIM(MID(SUBSTITUTE($B$1,",",REPT(" ",LEN($B$1))),((ROWS($B$1:$B855)-1)*LEN($B$1))+1,LEN($B$1)))</f>
        <v/>
      </c>
    </row>
    <row r="856" spans="3:3" x14ac:dyDescent="0.15">
      <c r="C856" t="str">
        <f>TRIM(MID(SUBSTITUTE($B$1,",",REPT(" ",LEN($B$1))),((ROWS($B$1:$B856)-1)*LEN($B$1))+1,LEN($B$1)))</f>
        <v/>
      </c>
    </row>
    <row r="857" spans="3:3" x14ac:dyDescent="0.15">
      <c r="C857" t="str">
        <f>TRIM(MID(SUBSTITUTE($B$1,",",REPT(" ",LEN($B$1))),((ROWS($B$1:$B857)-1)*LEN($B$1))+1,LEN($B$1)))</f>
        <v/>
      </c>
    </row>
    <row r="858" spans="3:3" x14ac:dyDescent="0.15">
      <c r="C858" t="str">
        <f>TRIM(MID(SUBSTITUTE($B$1,",",REPT(" ",LEN($B$1))),((ROWS($B$1:$B858)-1)*LEN($B$1))+1,LEN($B$1)))</f>
        <v/>
      </c>
    </row>
    <row r="859" spans="3:3" x14ac:dyDescent="0.15">
      <c r="C859" t="str">
        <f>TRIM(MID(SUBSTITUTE($B$1,",",REPT(" ",LEN($B$1))),((ROWS($B$1:$B859)-1)*LEN($B$1))+1,LEN($B$1)))</f>
        <v/>
      </c>
    </row>
    <row r="860" spans="3:3" x14ac:dyDescent="0.15">
      <c r="C860" t="str">
        <f>TRIM(MID(SUBSTITUTE($B$1,",",REPT(" ",LEN($B$1))),((ROWS($B$1:$B860)-1)*LEN($B$1))+1,LEN($B$1)))</f>
        <v/>
      </c>
    </row>
    <row r="861" spans="3:3" x14ac:dyDescent="0.15">
      <c r="C861" t="str">
        <f>TRIM(MID(SUBSTITUTE($B$1,",",REPT(" ",LEN($B$1))),((ROWS($B$1:$B861)-1)*LEN($B$1))+1,LEN($B$1)))</f>
        <v/>
      </c>
    </row>
    <row r="862" spans="3:3" x14ac:dyDescent="0.15">
      <c r="C862" t="str">
        <f>TRIM(MID(SUBSTITUTE($B$1,",",REPT(" ",LEN($B$1))),((ROWS($B$1:$B862)-1)*LEN($B$1))+1,LEN($B$1)))</f>
        <v/>
      </c>
    </row>
    <row r="863" spans="3:3" x14ac:dyDescent="0.15">
      <c r="C863" t="str">
        <f>TRIM(MID(SUBSTITUTE($B$1,",",REPT(" ",LEN($B$1))),((ROWS($B$1:$B863)-1)*LEN($B$1))+1,LEN($B$1)))</f>
        <v/>
      </c>
    </row>
    <row r="864" spans="3:3" x14ac:dyDescent="0.15">
      <c r="C864" t="str">
        <f>TRIM(MID(SUBSTITUTE($B$1,",",REPT(" ",LEN($B$1))),((ROWS($B$1:$B864)-1)*LEN($B$1))+1,LEN($B$1)))</f>
        <v/>
      </c>
    </row>
    <row r="865" spans="3:3" x14ac:dyDescent="0.15">
      <c r="C865" t="str">
        <f>TRIM(MID(SUBSTITUTE($B$1,",",REPT(" ",LEN($B$1))),((ROWS($B$1:$B865)-1)*LEN($B$1))+1,LEN($B$1)))</f>
        <v/>
      </c>
    </row>
    <row r="866" spans="3:3" x14ac:dyDescent="0.15">
      <c r="C866" t="str">
        <f>TRIM(MID(SUBSTITUTE($B$1,",",REPT(" ",LEN($B$1))),((ROWS($B$1:$B866)-1)*LEN($B$1))+1,LEN($B$1)))</f>
        <v/>
      </c>
    </row>
    <row r="867" spans="3:3" x14ac:dyDescent="0.15">
      <c r="C867" t="str">
        <f>TRIM(MID(SUBSTITUTE($B$1,",",REPT(" ",LEN($B$1))),((ROWS($B$1:$B867)-1)*LEN($B$1))+1,LEN($B$1)))</f>
        <v/>
      </c>
    </row>
    <row r="868" spans="3:3" x14ac:dyDescent="0.15">
      <c r="C868" t="str">
        <f>TRIM(MID(SUBSTITUTE($B$1,",",REPT(" ",LEN($B$1))),((ROWS($B$1:$B868)-1)*LEN($B$1))+1,LEN($B$1)))</f>
        <v/>
      </c>
    </row>
    <row r="869" spans="3:3" x14ac:dyDescent="0.15">
      <c r="C869" t="str">
        <f>TRIM(MID(SUBSTITUTE($B$1,",",REPT(" ",LEN($B$1))),((ROWS($B$1:$B869)-1)*LEN($B$1))+1,LEN($B$1)))</f>
        <v/>
      </c>
    </row>
    <row r="870" spans="3:3" x14ac:dyDescent="0.15">
      <c r="C870" t="str">
        <f>TRIM(MID(SUBSTITUTE($B$1,",",REPT(" ",LEN($B$1))),((ROWS($B$1:$B870)-1)*LEN($B$1))+1,LEN($B$1)))</f>
        <v/>
      </c>
    </row>
    <row r="871" spans="3:3" x14ac:dyDescent="0.15">
      <c r="C871" t="str">
        <f>TRIM(MID(SUBSTITUTE($B$1,",",REPT(" ",LEN($B$1))),((ROWS($B$1:$B871)-1)*LEN($B$1))+1,LEN($B$1)))</f>
        <v/>
      </c>
    </row>
    <row r="872" spans="3:3" x14ac:dyDescent="0.15">
      <c r="C872" t="str">
        <f>TRIM(MID(SUBSTITUTE($B$1,",",REPT(" ",LEN($B$1))),((ROWS($B$1:$B872)-1)*LEN($B$1))+1,LEN($B$1)))</f>
        <v/>
      </c>
    </row>
    <row r="873" spans="3:3" x14ac:dyDescent="0.15">
      <c r="C873" t="str">
        <f>TRIM(MID(SUBSTITUTE($B$1,",",REPT(" ",LEN($B$1))),((ROWS($B$1:$B873)-1)*LEN($B$1))+1,LEN($B$1)))</f>
        <v/>
      </c>
    </row>
    <row r="874" spans="3:3" x14ac:dyDescent="0.15">
      <c r="C874" t="str">
        <f>TRIM(MID(SUBSTITUTE($B$1,",",REPT(" ",LEN($B$1))),((ROWS($B$1:$B874)-1)*LEN($B$1))+1,LEN($B$1)))</f>
        <v/>
      </c>
    </row>
    <row r="875" spans="3:3" x14ac:dyDescent="0.15">
      <c r="C875" t="str">
        <f>TRIM(MID(SUBSTITUTE($B$1,",",REPT(" ",LEN($B$1))),((ROWS($B$1:$B875)-1)*LEN($B$1))+1,LEN($B$1)))</f>
        <v/>
      </c>
    </row>
    <row r="876" spans="3:3" x14ac:dyDescent="0.15">
      <c r="C876" t="str">
        <f>TRIM(MID(SUBSTITUTE($B$1,",",REPT(" ",LEN($B$1))),((ROWS($B$1:$B876)-1)*LEN($B$1))+1,LEN($B$1)))</f>
        <v/>
      </c>
    </row>
    <row r="877" spans="3:3" x14ac:dyDescent="0.15">
      <c r="C877" t="str">
        <f>TRIM(MID(SUBSTITUTE($B$1,",",REPT(" ",LEN($B$1))),((ROWS($B$1:$B877)-1)*LEN($B$1))+1,LEN($B$1)))</f>
        <v/>
      </c>
    </row>
    <row r="878" spans="3:3" x14ac:dyDescent="0.15">
      <c r="C878" t="str">
        <f>TRIM(MID(SUBSTITUTE($B$1,",",REPT(" ",LEN($B$1))),((ROWS($B$1:$B878)-1)*LEN($B$1))+1,LEN($B$1)))</f>
        <v/>
      </c>
    </row>
    <row r="879" spans="3:3" x14ac:dyDescent="0.15">
      <c r="C879" t="str">
        <f>TRIM(MID(SUBSTITUTE($B$1,",",REPT(" ",LEN($B$1))),((ROWS($B$1:$B879)-1)*LEN($B$1))+1,LEN($B$1)))</f>
        <v/>
      </c>
    </row>
    <row r="880" spans="3:3" x14ac:dyDescent="0.15">
      <c r="C880" t="str">
        <f>TRIM(MID(SUBSTITUTE($B$1,",",REPT(" ",LEN($B$1))),((ROWS($B$1:$B880)-1)*LEN($B$1))+1,LEN($B$1)))</f>
        <v/>
      </c>
    </row>
    <row r="881" spans="3:3" x14ac:dyDescent="0.15">
      <c r="C881" t="str">
        <f>TRIM(MID(SUBSTITUTE($B$1,",",REPT(" ",LEN($B$1))),((ROWS($B$1:$B881)-1)*LEN($B$1))+1,LEN($B$1)))</f>
        <v/>
      </c>
    </row>
    <row r="882" spans="3:3" x14ac:dyDescent="0.15">
      <c r="C882" t="str">
        <f>TRIM(MID(SUBSTITUTE($B$1,",",REPT(" ",LEN($B$1))),((ROWS($B$1:$B882)-1)*LEN($B$1))+1,LEN($B$1)))</f>
        <v/>
      </c>
    </row>
    <row r="883" spans="3:3" x14ac:dyDescent="0.15">
      <c r="C883" t="str">
        <f>TRIM(MID(SUBSTITUTE($B$1,",",REPT(" ",LEN($B$1))),((ROWS($B$1:$B883)-1)*LEN($B$1))+1,LEN($B$1)))</f>
        <v/>
      </c>
    </row>
    <row r="884" spans="3:3" x14ac:dyDescent="0.15">
      <c r="C884" t="str">
        <f>TRIM(MID(SUBSTITUTE($B$1,",",REPT(" ",LEN($B$1))),((ROWS($B$1:$B884)-1)*LEN($B$1))+1,LEN($B$1)))</f>
        <v/>
      </c>
    </row>
    <row r="885" spans="3:3" x14ac:dyDescent="0.15">
      <c r="C885" t="str">
        <f>TRIM(MID(SUBSTITUTE($B$1,",",REPT(" ",LEN($B$1))),((ROWS($B$1:$B885)-1)*LEN($B$1))+1,LEN($B$1)))</f>
        <v/>
      </c>
    </row>
    <row r="886" spans="3:3" x14ac:dyDescent="0.15">
      <c r="C886" t="str">
        <f>TRIM(MID(SUBSTITUTE($B$1,",",REPT(" ",LEN($B$1))),((ROWS($B$1:$B886)-1)*LEN($B$1))+1,LEN($B$1)))</f>
        <v/>
      </c>
    </row>
    <row r="887" spans="3:3" x14ac:dyDescent="0.15">
      <c r="C887" t="str">
        <f>TRIM(MID(SUBSTITUTE($B$1,",",REPT(" ",LEN($B$1))),((ROWS($B$1:$B887)-1)*LEN($B$1))+1,LEN($B$1)))</f>
        <v/>
      </c>
    </row>
    <row r="888" spans="3:3" x14ac:dyDescent="0.15">
      <c r="C888" t="str">
        <f>TRIM(MID(SUBSTITUTE($B$1,",",REPT(" ",LEN($B$1))),((ROWS($B$1:$B888)-1)*LEN($B$1))+1,LEN($B$1)))</f>
        <v/>
      </c>
    </row>
    <row r="889" spans="3:3" x14ac:dyDescent="0.15">
      <c r="C889" t="str">
        <f>TRIM(MID(SUBSTITUTE($B$1,",",REPT(" ",LEN($B$1))),((ROWS($B$1:$B889)-1)*LEN($B$1))+1,LEN($B$1)))</f>
        <v/>
      </c>
    </row>
    <row r="890" spans="3:3" x14ac:dyDescent="0.15">
      <c r="C890" t="str">
        <f>TRIM(MID(SUBSTITUTE($B$1,",",REPT(" ",LEN($B$1))),((ROWS($B$1:$B890)-1)*LEN($B$1))+1,LEN($B$1)))</f>
        <v/>
      </c>
    </row>
    <row r="891" spans="3:3" x14ac:dyDescent="0.15">
      <c r="C891" t="str">
        <f>TRIM(MID(SUBSTITUTE($B$1,",",REPT(" ",LEN($B$1))),((ROWS($B$1:$B891)-1)*LEN($B$1))+1,LEN($B$1)))</f>
        <v/>
      </c>
    </row>
    <row r="892" spans="3:3" x14ac:dyDescent="0.15">
      <c r="C892" t="str">
        <f>TRIM(MID(SUBSTITUTE($B$1,",",REPT(" ",LEN($B$1))),((ROWS($B$1:$B892)-1)*LEN($B$1))+1,LEN($B$1)))</f>
        <v/>
      </c>
    </row>
    <row r="893" spans="3:3" x14ac:dyDescent="0.15">
      <c r="C893" t="str">
        <f>TRIM(MID(SUBSTITUTE($B$1,",",REPT(" ",LEN($B$1))),((ROWS($B$1:$B893)-1)*LEN($B$1))+1,LEN($B$1)))</f>
        <v/>
      </c>
    </row>
    <row r="894" spans="3:3" x14ac:dyDescent="0.15">
      <c r="C894" t="str">
        <f>TRIM(MID(SUBSTITUTE($B$1,",",REPT(" ",LEN($B$1))),((ROWS($B$1:$B894)-1)*LEN($B$1))+1,LEN($B$1)))</f>
        <v/>
      </c>
    </row>
    <row r="895" spans="3:3" x14ac:dyDescent="0.15">
      <c r="C895" t="str">
        <f>TRIM(MID(SUBSTITUTE($B$1,",",REPT(" ",LEN($B$1))),((ROWS($B$1:$B895)-1)*LEN($B$1))+1,LEN($B$1)))</f>
        <v/>
      </c>
    </row>
    <row r="896" spans="3:3" x14ac:dyDescent="0.15">
      <c r="C896" t="str">
        <f>TRIM(MID(SUBSTITUTE($B$1,",",REPT(" ",LEN($B$1))),((ROWS($B$1:$B896)-1)*LEN($B$1))+1,LEN($B$1)))</f>
        <v/>
      </c>
    </row>
    <row r="897" spans="3:3" x14ac:dyDescent="0.15">
      <c r="C897" t="str">
        <f>TRIM(MID(SUBSTITUTE($B$1,",",REPT(" ",LEN($B$1))),((ROWS($B$1:$B897)-1)*LEN($B$1))+1,LEN($B$1)))</f>
        <v/>
      </c>
    </row>
    <row r="898" spans="3:3" x14ac:dyDescent="0.15">
      <c r="C898" t="str">
        <f>TRIM(MID(SUBSTITUTE($B$1,",",REPT(" ",LEN($B$1))),((ROWS($B$1:$B898)-1)*LEN($B$1))+1,LEN($B$1)))</f>
        <v/>
      </c>
    </row>
    <row r="899" spans="3:3" x14ac:dyDescent="0.15">
      <c r="C899" t="str">
        <f>TRIM(MID(SUBSTITUTE($B$1,",",REPT(" ",LEN($B$1))),((ROWS($B$1:$B899)-1)*LEN($B$1))+1,LEN($B$1)))</f>
        <v/>
      </c>
    </row>
    <row r="900" spans="3:3" x14ac:dyDescent="0.15">
      <c r="C900" t="str">
        <f>TRIM(MID(SUBSTITUTE($B$1,",",REPT(" ",LEN($B$1))),((ROWS($B$1:$B900)-1)*LEN($B$1))+1,LEN($B$1)))</f>
        <v/>
      </c>
    </row>
    <row r="901" spans="3:3" x14ac:dyDescent="0.15">
      <c r="C901" t="str">
        <f>TRIM(MID(SUBSTITUTE($B$1,",",REPT(" ",LEN($B$1))),((ROWS($B$1:$B901)-1)*LEN($B$1))+1,LEN($B$1)))</f>
        <v/>
      </c>
    </row>
    <row r="902" spans="3:3" x14ac:dyDescent="0.15">
      <c r="C902" t="str">
        <f>TRIM(MID(SUBSTITUTE($B$1,",",REPT(" ",LEN($B$1))),((ROWS($B$1:$B902)-1)*LEN($B$1))+1,LEN($B$1)))</f>
        <v/>
      </c>
    </row>
    <row r="903" spans="3:3" x14ac:dyDescent="0.15">
      <c r="C903" t="str">
        <f>TRIM(MID(SUBSTITUTE($B$1,",",REPT(" ",LEN($B$1))),((ROWS($B$1:$B903)-1)*LEN($B$1))+1,LEN($B$1)))</f>
        <v/>
      </c>
    </row>
    <row r="904" spans="3:3" x14ac:dyDescent="0.15">
      <c r="C904" t="str">
        <f>TRIM(MID(SUBSTITUTE($B$1,",",REPT(" ",LEN($B$1))),((ROWS($B$1:$B904)-1)*LEN($B$1))+1,LEN($B$1)))</f>
        <v/>
      </c>
    </row>
    <row r="905" spans="3:3" x14ac:dyDescent="0.15">
      <c r="C905" t="str">
        <f>TRIM(MID(SUBSTITUTE($B$1,",",REPT(" ",LEN($B$1))),((ROWS($B$1:$B905)-1)*LEN($B$1))+1,LEN($B$1)))</f>
        <v/>
      </c>
    </row>
    <row r="906" spans="3:3" x14ac:dyDescent="0.15">
      <c r="C906" t="str">
        <f>TRIM(MID(SUBSTITUTE($B$1,",",REPT(" ",LEN($B$1))),((ROWS($B$1:$B906)-1)*LEN($B$1))+1,LEN($B$1)))</f>
        <v/>
      </c>
    </row>
    <row r="907" spans="3:3" x14ac:dyDescent="0.15">
      <c r="C907" t="str">
        <f>TRIM(MID(SUBSTITUTE($B$1,",",REPT(" ",LEN($B$1))),((ROWS($B$1:$B907)-1)*LEN($B$1))+1,LEN($B$1)))</f>
        <v/>
      </c>
    </row>
    <row r="908" spans="3:3" x14ac:dyDescent="0.15">
      <c r="C908" t="str">
        <f>TRIM(MID(SUBSTITUTE($B$1,",",REPT(" ",LEN($B$1))),((ROWS($B$1:$B908)-1)*LEN($B$1))+1,LEN($B$1)))</f>
        <v/>
      </c>
    </row>
    <row r="909" spans="3:3" x14ac:dyDescent="0.15">
      <c r="C909" t="str">
        <f>TRIM(MID(SUBSTITUTE($B$1,",",REPT(" ",LEN($B$1))),((ROWS($B$1:$B909)-1)*LEN($B$1))+1,LEN($B$1)))</f>
        <v/>
      </c>
    </row>
    <row r="910" spans="3:3" x14ac:dyDescent="0.15">
      <c r="C910" t="str">
        <f>TRIM(MID(SUBSTITUTE($B$1,",",REPT(" ",LEN($B$1))),((ROWS($B$1:$B910)-1)*LEN($B$1))+1,LEN($B$1)))</f>
        <v/>
      </c>
    </row>
    <row r="911" spans="3:3" x14ac:dyDescent="0.15">
      <c r="C911" t="str">
        <f>TRIM(MID(SUBSTITUTE($B$1,",",REPT(" ",LEN($B$1))),((ROWS($B$1:$B911)-1)*LEN($B$1))+1,LEN($B$1)))</f>
        <v/>
      </c>
    </row>
    <row r="912" spans="3:3" x14ac:dyDescent="0.15">
      <c r="C912" t="str">
        <f>TRIM(MID(SUBSTITUTE($B$1,",",REPT(" ",LEN($B$1))),((ROWS($B$1:$B912)-1)*LEN($B$1))+1,LEN($B$1)))</f>
        <v/>
      </c>
    </row>
    <row r="913" spans="3:3" x14ac:dyDescent="0.15">
      <c r="C913" t="str">
        <f>TRIM(MID(SUBSTITUTE($B$1,",",REPT(" ",LEN($B$1))),((ROWS($B$1:$B913)-1)*LEN($B$1))+1,LEN($B$1)))</f>
        <v/>
      </c>
    </row>
    <row r="914" spans="3:3" x14ac:dyDescent="0.15">
      <c r="C914" t="str">
        <f>TRIM(MID(SUBSTITUTE($B$1,",",REPT(" ",LEN($B$1))),((ROWS($B$1:$B914)-1)*LEN($B$1))+1,LEN($B$1)))</f>
        <v/>
      </c>
    </row>
    <row r="915" spans="3:3" x14ac:dyDescent="0.15">
      <c r="C915" t="str">
        <f>TRIM(MID(SUBSTITUTE($B$1,",",REPT(" ",LEN($B$1))),((ROWS($B$1:$B915)-1)*LEN($B$1))+1,LEN($B$1)))</f>
        <v/>
      </c>
    </row>
    <row r="916" spans="3:3" x14ac:dyDescent="0.15">
      <c r="C916" t="str">
        <f>TRIM(MID(SUBSTITUTE($B$1,",",REPT(" ",LEN($B$1))),((ROWS($B$1:$B916)-1)*LEN($B$1))+1,LEN($B$1)))</f>
        <v/>
      </c>
    </row>
    <row r="917" spans="3:3" x14ac:dyDescent="0.15">
      <c r="C917" t="str">
        <f>TRIM(MID(SUBSTITUTE($B$1,",",REPT(" ",LEN($B$1))),((ROWS($B$1:$B917)-1)*LEN($B$1))+1,LEN($B$1)))</f>
        <v/>
      </c>
    </row>
    <row r="918" spans="3:3" x14ac:dyDescent="0.15">
      <c r="C918" t="str">
        <f>TRIM(MID(SUBSTITUTE($B$1,",",REPT(" ",LEN($B$1))),((ROWS($B$1:$B918)-1)*LEN($B$1))+1,LEN($B$1)))</f>
        <v/>
      </c>
    </row>
    <row r="919" spans="3:3" x14ac:dyDescent="0.15">
      <c r="C919" t="str">
        <f>TRIM(MID(SUBSTITUTE($B$1,",",REPT(" ",LEN($B$1))),((ROWS($B$1:$B919)-1)*LEN($B$1))+1,LEN($B$1)))</f>
        <v/>
      </c>
    </row>
    <row r="920" spans="3:3" x14ac:dyDescent="0.15">
      <c r="C920" t="str">
        <f>TRIM(MID(SUBSTITUTE($B$1,",",REPT(" ",LEN($B$1))),((ROWS($B$1:$B920)-1)*LEN($B$1))+1,LEN($B$1)))</f>
        <v/>
      </c>
    </row>
    <row r="921" spans="3:3" x14ac:dyDescent="0.15">
      <c r="C921" t="str">
        <f>TRIM(MID(SUBSTITUTE($B$1,",",REPT(" ",LEN($B$1))),((ROWS($B$1:$B921)-1)*LEN($B$1))+1,LEN($B$1)))</f>
        <v/>
      </c>
    </row>
    <row r="922" spans="3:3" x14ac:dyDescent="0.15">
      <c r="C922" t="str">
        <f>TRIM(MID(SUBSTITUTE($B$1,",",REPT(" ",LEN($B$1))),((ROWS($B$1:$B922)-1)*LEN($B$1))+1,LEN($B$1)))</f>
        <v/>
      </c>
    </row>
    <row r="923" spans="3:3" x14ac:dyDescent="0.15">
      <c r="C923" t="str">
        <f>TRIM(MID(SUBSTITUTE($B$1,",",REPT(" ",LEN($B$1))),((ROWS($B$1:$B923)-1)*LEN($B$1))+1,LEN($B$1)))</f>
        <v/>
      </c>
    </row>
    <row r="924" spans="3:3" x14ac:dyDescent="0.15">
      <c r="C924" t="str">
        <f>TRIM(MID(SUBSTITUTE($B$1,",",REPT(" ",LEN($B$1))),((ROWS($B$1:$B924)-1)*LEN($B$1))+1,LEN($B$1)))</f>
        <v/>
      </c>
    </row>
    <row r="925" spans="3:3" x14ac:dyDescent="0.15">
      <c r="C925" t="str">
        <f>TRIM(MID(SUBSTITUTE($B$1,",",REPT(" ",LEN($B$1))),((ROWS($B$1:$B925)-1)*LEN($B$1))+1,LEN($B$1)))</f>
        <v/>
      </c>
    </row>
    <row r="926" spans="3:3" x14ac:dyDescent="0.15">
      <c r="C926" t="str">
        <f>TRIM(MID(SUBSTITUTE($B$1,",",REPT(" ",LEN($B$1))),((ROWS($B$1:$B926)-1)*LEN($B$1))+1,LEN($B$1)))</f>
        <v/>
      </c>
    </row>
    <row r="927" spans="3:3" x14ac:dyDescent="0.15">
      <c r="C927" t="str">
        <f>TRIM(MID(SUBSTITUTE($B$1,",",REPT(" ",LEN($B$1))),((ROWS($B$1:$B927)-1)*LEN($B$1))+1,LEN($B$1)))</f>
        <v/>
      </c>
    </row>
    <row r="928" spans="3:3" x14ac:dyDescent="0.15">
      <c r="C928" t="str">
        <f>TRIM(MID(SUBSTITUTE($B$1,",",REPT(" ",LEN($B$1))),((ROWS($B$1:$B928)-1)*LEN($B$1))+1,LEN($B$1)))</f>
        <v/>
      </c>
    </row>
    <row r="929" spans="3:3" x14ac:dyDescent="0.15">
      <c r="C929" t="str">
        <f>TRIM(MID(SUBSTITUTE($B$1,",",REPT(" ",LEN($B$1))),((ROWS($B$1:$B929)-1)*LEN($B$1))+1,LEN($B$1)))</f>
        <v/>
      </c>
    </row>
    <row r="930" spans="3:3" x14ac:dyDescent="0.15">
      <c r="C930" t="str">
        <f>TRIM(MID(SUBSTITUTE($B$1,",",REPT(" ",LEN($B$1))),((ROWS($B$1:$B930)-1)*LEN($B$1))+1,LEN($B$1)))</f>
        <v/>
      </c>
    </row>
    <row r="931" spans="3:3" x14ac:dyDescent="0.15">
      <c r="C931" t="str">
        <f>TRIM(MID(SUBSTITUTE($B$1,",",REPT(" ",LEN($B$1))),((ROWS($B$1:$B931)-1)*LEN($B$1))+1,LEN($B$1)))</f>
        <v/>
      </c>
    </row>
    <row r="932" spans="3:3" x14ac:dyDescent="0.15">
      <c r="C932" t="str">
        <f>TRIM(MID(SUBSTITUTE($B$1,",",REPT(" ",LEN($B$1))),((ROWS($B$1:$B932)-1)*LEN($B$1))+1,LEN($B$1)))</f>
        <v/>
      </c>
    </row>
    <row r="933" spans="3:3" x14ac:dyDescent="0.15">
      <c r="C933" t="str">
        <f>TRIM(MID(SUBSTITUTE($B$1,",",REPT(" ",LEN($B$1))),((ROWS($B$1:$B933)-1)*LEN($B$1))+1,LEN($B$1)))</f>
        <v/>
      </c>
    </row>
    <row r="934" spans="3:3" x14ac:dyDescent="0.15">
      <c r="C934" t="str">
        <f>TRIM(MID(SUBSTITUTE($B$1,",",REPT(" ",LEN($B$1))),((ROWS($B$1:$B934)-1)*LEN($B$1))+1,LEN($B$1)))</f>
        <v/>
      </c>
    </row>
    <row r="935" spans="3:3" x14ac:dyDescent="0.15">
      <c r="C935" t="str">
        <f>TRIM(MID(SUBSTITUTE($B$1,",",REPT(" ",LEN($B$1))),((ROWS($B$1:$B935)-1)*LEN($B$1))+1,LEN($B$1)))</f>
        <v/>
      </c>
    </row>
    <row r="936" spans="3:3" x14ac:dyDescent="0.15">
      <c r="C936" t="str">
        <f>TRIM(MID(SUBSTITUTE($B$1,",",REPT(" ",LEN($B$1))),((ROWS($B$1:$B936)-1)*LEN($B$1))+1,LEN($B$1)))</f>
        <v/>
      </c>
    </row>
    <row r="937" spans="3:3" x14ac:dyDescent="0.15">
      <c r="C937" t="str">
        <f>TRIM(MID(SUBSTITUTE($B$1,",",REPT(" ",LEN($B$1))),((ROWS($B$1:$B937)-1)*LEN($B$1))+1,LEN($B$1)))</f>
        <v/>
      </c>
    </row>
    <row r="938" spans="3:3" x14ac:dyDescent="0.15">
      <c r="C938" t="str">
        <f>TRIM(MID(SUBSTITUTE($B$1,",",REPT(" ",LEN($B$1))),((ROWS($B$1:$B938)-1)*LEN($B$1))+1,LEN($B$1)))</f>
        <v/>
      </c>
    </row>
    <row r="939" spans="3:3" x14ac:dyDescent="0.15">
      <c r="C939" t="str">
        <f>TRIM(MID(SUBSTITUTE($B$1,",",REPT(" ",LEN($B$1))),((ROWS($B$1:$B939)-1)*LEN($B$1))+1,LEN($B$1)))</f>
        <v/>
      </c>
    </row>
    <row r="940" spans="3:3" x14ac:dyDescent="0.15">
      <c r="C940" t="str">
        <f>TRIM(MID(SUBSTITUTE($B$1,",",REPT(" ",LEN($B$1))),((ROWS($B$1:$B940)-1)*LEN($B$1))+1,LEN($B$1)))</f>
        <v/>
      </c>
    </row>
    <row r="941" spans="3:3" x14ac:dyDescent="0.15">
      <c r="C941" t="str">
        <f>TRIM(MID(SUBSTITUTE($B$1,",",REPT(" ",LEN($B$1))),((ROWS($B$1:$B941)-1)*LEN($B$1))+1,LEN($B$1)))</f>
        <v/>
      </c>
    </row>
    <row r="942" spans="3:3" x14ac:dyDescent="0.15">
      <c r="C942" t="str">
        <f>TRIM(MID(SUBSTITUTE($B$1,",",REPT(" ",LEN($B$1))),((ROWS($B$1:$B942)-1)*LEN($B$1))+1,LEN($B$1)))</f>
        <v/>
      </c>
    </row>
    <row r="943" spans="3:3" x14ac:dyDescent="0.15">
      <c r="C943" t="str">
        <f>TRIM(MID(SUBSTITUTE($B$1,",",REPT(" ",LEN($B$1))),((ROWS($B$1:$B943)-1)*LEN($B$1))+1,LEN($B$1)))</f>
        <v/>
      </c>
    </row>
    <row r="944" spans="3:3" x14ac:dyDescent="0.15">
      <c r="C944" t="str">
        <f>TRIM(MID(SUBSTITUTE($B$1,",",REPT(" ",LEN($B$1))),((ROWS($B$1:$B944)-1)*LEN($B$1))+1,LEN($B$1)))</f>
        <v/>
      </c>
    </row>
    <row r="945" spans="3:3" x14ac:dyDescent="0.15">
      <c r="C945" t="str">
        <f>TRIM(MID(SUBSTITUTE($B$1,",",REPT(" ",LEN($B$1))),((ROWS($B$1:$B945)-1)*LEN($B$1))+1,LEN($B$1)))</f>
        <v/>
      </c>
    </row>
    <row r="946" spans="3:3" x14ac:dyDescent="0.15">
      <c r="C946" t="str">
        <f>TRIM(MID(SUBSTITUTE($B$1,",",REPT(" ",LEN($B$1))),((ROWS($B$1:$B946)-1)*LEN($B$1))+1,LEN($B$1)))</f>
        <v/>
      </c>
    </row>
    <row r="947" spans="3:3" x14ac:dyDescent="0.15">
      <c r="C947" t="str">
        <f>TRIM(MID(SUBSTITUTE($B$1,",",REPT(" ",LEN($B$1))),((ROWS($B$1:$B947)-1)*LEN($B$1))+1,LEN($B$1)))</f>
        <v/>
      </c>
    </row>
    <row r="948" spans="3:3" x14ac:dyDescent="0.15">
      <c r="C948" t="str">
        <f>TRIM(MID(SUBSTITUTE($B$1,",",REPT(" ",LEN($B$1))),((ROWS($B$1:$B948)-1)*LEN($B$1))+1,LEN($B$1)))</f>
        <v/>
      </c>
    </row>
    <row r="949" spans="3:3" x14ac:dyDescent="0.15">
      <c r="C949" t="str">
        <f>TRIM(MID(SUBSTITUTE($B$1,",",REPT(" ",LEN($B$1))),((ROWS($B$1:$B949)-1)*LEN($B$1))+1,LEN($B$1)))</f>
        <v/>
      </c>
    </row>
    <row r="950" spans="3:3" x14ac:dyDescent="0.15">
      <c r="C950" t="str">
        <f>TRIM(MID(SUBSTITUTE($B$1,",",REPT(" ",LEN($B$1))),((ROWS($B$1:$B950)-1)*LEN($B$1))+1,LEN($B$1)))</f>
        <v/>
      </c>
    </row>
    <row r="951" spans="3:3" x14ac:dyDescent="0.15">
      <c r="C951" t="str">
        <f>TRIM(MID(SUBSTITUTE($B$1,",",REPT(" ",LEN($B$1))),((ROWS($B$1:$B951)-1)*LEN($B$1))+1,LEN($B$1)))</f>
        <v/>
      </c>
    </row>
    <row r="952" spans="3:3" x14ac:dyDescent="0.15">
      <c r="C952" t="str">
        <f>TRIM(MID(SUBSTITUTE($B$1,",",REPT(" ",LEN($B$1))),((ROWS($B$1:$B952)-1)*LEN($B$1))+1,LEN($B$1)))</f>
        <v/>
      </c>
    </row>
    <row r="953" spans="3:3" x14ac:dyDescent="0.15">
      <c r="C953" t="str">
        <f>TRIM(MID(SUBSTITUTE($B$1,",",REPT(" ",LEN($B$1))),((ROWS($B$1:$B953)-1)*LEN($B$1))+1,LEN($B$1)))</f>
        <v/>
      </c>
    </row>
    <row r="954" spans="3:3" x14ac:dyDescent="0.15">
      <c r="C954" t="str">
        <f>TRIM(MID(SUBSTITUTE($B$1,",",REPT(" ",LEN($B$1))),((ROWS($B$1:$B954)-1)*LEN($B$1))+1,LEN($B$1)))</f>
        <v/>
      </c>
    </row>
    <row r="955" spans="3:3" x14ac:dyDescent="0.15">
      <c r="C955" t="str">
        <f>TRIM(MID(SUBSTITUTE($B$1,",",REPT(" ",LEN($B$1))),((ROWS($B$1:$B955)-1)*LEN($B$1))+1,LEN($B$1)))</f>
        <v/>
      </c>
    </row>
    <row r="956" spans="3:3" x14ac:dyDescent="0.15">
      <c r="C956" t="str">
        <f>TRIM(MID(SUBSTITUTE($B$1,",",REPT(" ",LEN($B$1))),((ROWS($B$1:$B956)-1)*LEN($B$1))+1,LEN($B$1)))</f>
        <v/>
      </c>
    </row>
    <row r="957" spans="3:3" x14ac:dyDescent="0.15">
      <c r="C957" t="str">
        <f>TRIM(MID(SUBSTITUTE($B$1,",",REPT(" ",LEN($B$1))),((ROWS($B$1:$B957)-1)*LEN($B$1))+1,LEN($B$1)))</f>
        <v/>
      </c>
    </row>
    <row r="958" spans="3:3" x14ac:dyDescent="0.15">
      <c r="C958" t="str">
        <f>TRIM(MID(SUBSTITUTE($B$1,",",REPT(" ",LEN($B$1))),((ROWS($B$1:$B958)-1)*LEN($B$1))+1,LEN($B$1)))</f>
        <v/>
      </c>
    </row>
    <row r="959" spans="3:3" x14ac:dyDescent="0.15">
      <c r="C959" t="str">
        <f>TRIM(MID(SUBSTITUTE($B$1,",",REPT(" ",LEN($B$1))),((ROWS($B$1:$B959)-1)*LEN($B$1))+1,LEN($B$1)))</f>
        <v/>
      </c>
    </row>
    <row r="960" spans="3:3" x14ac:dyDescent="0.15">
      <c r="C960" t="str">
        <f>TRIM(MID(SUBSTITUTE($B$1,",",REPT(" ",LEN($B$1))),((ROWS($B$1:$B960)-1)*LEN($B$1))+1,LEN($B$1)))</f>
        <v/>
      </c>
    </row>
    <row r="961" spans="3:3" x14ac:dyDescent="0.15">
      <c r="C961" t="str">
        <f>TRIM(MID(SUBSTITUTE($B$1,",",REPT(" ",LEN($B$1))),((ROWS($B$1:$B961)-1)*LEN($B$1))+1,LEN($B$1)))</f>
        <v/>
      </c>
    </row>
    <row r="962" spans="3:3" x14ac:dyDescent="0.15">
      <c r="C962" t="str">
        <f>TRIM(MID(SUBSTITUTE($B$1,",",REPT(" ",LEN($B$1))),((ROWS($B$1:$B962)-1)*LEN($B$1))+1,LEN($B$1)))</f>
        <v/>
      </c>
    </row>
    <row r="963" spans="3:3" x14ac:dyDescent="0.15">
      <c r="C963" t="str">
        <f>TRIM(MID(SUBSTITUTE($B$1,",",REPT(" ",LEN($B$1))),((ROWS($B$1:$B963)-1)*LEN($B$1))+1,LEN($B$1)))</f>
        <v/>
      </c>
    </row>
    <row r="964" spans="3:3" x14ac:dyDescent="0.15">
      <c r="C964" t="str">
        <f>TRIM(MID(SUBSTITUTE($B$1,",",REPT(" ",LEN($B$1))),((ROWS($B$1:$B964)-1)*LEN($B$1))+1,LEN($B$1)))</f>
        <v/>
      </c>
    </row>
    <row r="965" spans="3:3" x14ac:dyDescent="0.15">
      <c r="C965" t="str">
        <f>TRIM(MID(SUBSTITUTE($B$1,",",REPT(" ",LEN($B$1))),((ROWS($B$1:$B965)-1)*LEN($B$1))+1,LEN($B$1)))</f>
        <v/>
      </c>
    </row>
    <row r="966" spans="3:3" x14ac:dyDescent="0.15">
      <c r="C966" t="str">
        <f>TRIM(MID(SUBSTITUTE($B$1,",",REPT(" ",LEN($B$1))),((ROWS($B$1:$B966)-1)*LEN($B$1))+1,LEN($B$1)))</f>
        <v/>
      </c>
    </row>
    <row r="967" spans="3:3" x14ac:dyDescent="0.15">
      <c r="C967" t="str">
        <f>TRIM(MID(SUBSTITUTE($B$1,",",REPT(" ",LEN($B$1))),((ROWS($B$1:$B967)-1)*LEN($B$1))+1,LEN($B$1)))</f>
        <v/>
      </c>
    </row>
    <row r="968" spans="3:3" x14ac:dyDescent="0.15">
      <c r="C968" t="str">
        <f>TRIM(MID(SUBSTITUTE($B$1,",",REPT(" ",LEN($B$1))),((ROWS($B$1:$B968)-1)*LEN($B$1))+1,LEN($B$1)))</f>
        <v/>
      </c>
    </row>
    <row r="969" spans="3:3" x14ac:dyDescent="0.15">
      <c r="C969" t="str">
        <f>TRIM(MID(SUBSTITUTE($B$1,",",REPT(" ",LEN($B$1))),((ROWS($B$1:$B969)-1)*LEN($B$1))+1,LEN($B$1)))</f>
        <v/>
      </c>
    </row>
    <row r="970" spans="3:3" x14ac:dyDescent="0.15">
      <c r="C970" t="str">
        <f>TRIM(MID(SUBSTITUTE($B$1,",",REPT(" ",LEN($B$1))),((ROWS($B$1:$B970)-1)*LEN($B$1))+1,LEN($B$1)))</f>
        <v/>
      </c>
    </row>
    <row r="971" spans="3:3" x14ac:dyDescent="0.15">
      <c r="C971" t="str">
        <f>TRIM(MID(SUBSTITUTE($B$1,",",REPT(" ",LEN($B$1))),((ROWS($B$1:$B971)-1)*LEN($B$1))+1,LEN($B$1)))</f>
        <v/>
      </c>
    </row>
    <row r="972" spans="3:3" x14ac:dyDescent="0.15">
      <c r="C972" t="str">
        <f>TRIM(MID(SUBSTITUTE($B$1,",",REPT(" ",LEN($B$1))),((ROWS($B$1:$B972)-1)*LEN($B$1))+1,LEN($B$1)))</f>
        <v/>
      </c>
    </row>
    <row r="973" spans="3:3" x14ac:dyDescent="0.15">
      <c r="C973" t="str">
        <f>TRIM(MID(SUBSTITUTE($B$1,",",REPT(" ",LEN($B$1))),((ROWS($B$1:$B973)-1)*LEN($B$1))+1,LEN($B$1)))</f>
        <v/>
      </c>
    </row>
    <row r="974" spans="3:3" x14ac:dyDescent="0.15">
      <c r="C974" t="str">
        <f>TRIM(MID(SUBSTITUTE($B$1,",",REPT(" ",LEN($B$1))),((ROWS($B$1:$B974)-1)*LEN($B$1))+1,LEN($B$1)))</f>
        <v/>
      </c>
    </row>
    <row r="975" spans="3:3" x14ac:dyDescent="0.15">
      <c r="C975" t="str">
        <f>TRIM(MID(SUBSTITUTE($B$1,",",REPT(" ",LEN($B$1))),((ROWS($B$1:$B975)-1)*LEN($B$1))+1,LEN($B$1)))</f>
        <v/>
      </c>
    </row>
    <row r="976" spans="3:3" x14ac:dyDescent="0.15">
      <c r="C976" t="str">
        <f>TRIM(MID(SUBSTITUTE($B$1,",",REPT(" ",LEN($B$1))),((ROWS($B$1:$B976)-1)*LEN($B$1))+1,LEN($B$1)))</f>
        <v/>
      </c>
    </row>
    <row r="977" spans="3:3" x14ac:dyDescent="0.15">
      <c r="C977" t="str">
        <f>TRIM(MID(SUBSTITUTE($B$1,",",REPT(" ",LEN($B$1))),((ROWS($B$1:$B977)-1)*LEN($B$1))+1,LEN($B$1)))</f>
        <v/>
      </c>
    </row>
    <row r="978" spans="3:3" x14ac:dyDescent="0.15">
      <c r="C978" t="str">
        <f>TRIM(MID(SUBSTITUTE($B$1,",",REPT(" ",LEN($B$1))),((ROWS($B$1:$B978)-1)*LEN($B$1))+1,LEN($B$1)))</f>
        <v/>
      </c>
    </row>
    <row r="979" spans="3:3" x14ac:dyDescent="0.15">
      <c r="C979" t="str">
        <f>TRIM(MID(SUBSTITUTE($B$1,",",REPT(" ",LEN($B$1))),((ROWS($B$1:$B979)-1)*LEN($B$1))+1,LEN($B$1)))</f>
        <v/>
      </c>
    </row>
    <row r="980" spans="3:3" x14ac:dyDescent="0.15">
      <c r="C980" t="str">
        <f>TRIM(MID(SUBSTITUTE($B$1,",",REPT(" ",LEN($B$1))),((ROWS($B$1:$B980)-1)*LEN($B$1))+1,LEN($B$1)))</f>
        <v/>
      </c>
    </row>
    <row r="981" spans="3:3" x14ac:dyDescent="0.15">
      <c r="C981" t="str">
        <f>TRIM(MID(SUBSTITUTE($B$1,",",REPT(" ",LEN($B$1))),((ROWS($B$1:$B981)-1)*LEN($B$1))+1,LEN($B$1)))</f>
        <v/>
      </c>
    </row>
    <row r="982" spans="3:3" x14ac:dyDescent="0.15">
      <c r="C982" t="str">
        <f>TRIM(MID(SUBSTITUTE($B$1,",",REPT(" ",LEN($B$1))),((ROWS($B$1:$B982)-1)*LEN($B$1))+1,LEN($B$1)))</f>
        <v/>
      </c>
    </row>
    <row r="983" spans="3:3" x14ac:dyDescent="0.15">
      <c r="C983" t="str">
        <f>TRIM(MID(SUBSTITUTE($B$1,",",REPT(" ",LEN($B$1))),((ROWS($B$1:$B983)-1)*LEN($B$1))+1,LEN($B$1)))</f>
        <v/>
      </c>
    </row>
    <row r="984" spans="3:3" x14ac:dyDescent="0.15">
      <c r="C984" t="str">
        <f>TRIM(MID(SUBSTITUTE($B$1,",",REPT(" ",LEN($B$1))),((ROWS($B$1:$B984)-1)*LEN($B$1))+1,LEN($B$1)))</f>
        <v/>
      </c>
    </row>
    <row r="985" spans="3:3" x14ac:dyDescent="0.15">
      <c r="C985" t="str">
        <f>TRIM(MID(SUBSTITUTE($B$1,",",REPT(" ",LEN($B$1))),((ROWS($B$1:$B985)-1)*LEN($B$1))+1,LEN($B$1)))</f>
        <v/>
      </c>
    </row>
    <row r="986" spans="3:3" x14ac:dyDescent="0.15">
      <c r="C986" t="str">
        <f>TRIM(MID(SUBSTITUTE($B$1,",",REPT(" ",LEN($B$1))),((ROWS($B$1:$B986)-1)*LEN($B$1))+1,LEN($B$1)))</f>
        <v/>
      </c>
    </row>
    <row r="987" spans="3:3" x14ac:dyDescent="0.15">
      <c r="C987" t="str">
        <f>TRIM(MID(SUBSTITUTE($B$1,",",REPT(" ",LEN($B$1))),((ROWS($B$1:$B987)-1)*LEN($B$1))+1,LEN($B$1)))</f>
        <v/>
      </c>
    </row>
    <row r="988" spans="3:3" x14ac:dyDescent="0.15">
      <c r="C988" t="str">
        <f>TRIM(MID(SUBSTITUTE($B$1,",",REPT(" ",LEN($B$1))),((ROWS($B$1:$B988)-1)*LEN($B$1))+1,LEN($B$1)))</f>
        <v/>
      </c>
    </row>
    <row r="989" spans="3:3" x14ac:dyDescent="0.15">
      <c r="C989" t="str">
        <f>TRIM(MID(SUBSTITUTE($B$1,",",REPT(" ",LEN($B$1))),((ROWS($B$1:$B989)-1)*LEN($B$1))+1,LEN($B$1)))</f>
        <v/>
      </c>
    </row>
    <row r="990" spans="3:3" x14ac:dyDescent="0.15">
      <c r="C990" t="str">
        <f>TRIM(MID(SUBSTITUTE($B$1,",",REPT(" ",LEN($B$1))),((ROWS($B$1:$B990)-1)*LEN($B$1))+1,LEN($B$1)))</f>
        <v/>
      </c>
    </row>
    <row r="991" spans="3:3" x14ac:dyDescent="0.15">
      <c r="C991" t="str">
        <f>TRIM(MID(SUBSTITUTE($B$1,",",REPT(" ",LEN($B$1))),((ROWS($B$1:$B991)-1)*LEN($B$1))+1,LEN($B$1)))</f>
        <v/>
      </c>
    </row>
    <row r="992" spans="3:3" x14ac:dyDescent="0.15">
      <c r="C992" t="str">
        <f>TRIM(MID(SUBSTITUTE($B$1,",",REPT(" ",LEN($B$1))),((ROWS($B$1:$B992)-1)*LEN($B$1))+1,LEN($B$1)))</f>
        <v/>
      </c>
    </row>
    <row r="993" spans="3:3" x14ac:dyDescent="0.15">
      <c r="C993" t="str">
        <f>TRIM(MID(SUBSTITUTE($B$1,",",REPT(" ",LEN($B$1))),((ROWS($B$1:$B993)-1)*LEN($B$1))+1,LEN($B$1)))</f>
        <v/>
      </c>
    </row>
    <row r="994" spans="3:3" x14ac:dyDescent="0.15">
      <c r="C994" t="str">
        <f>TRIM(MID(SUBSTITUTE($B$1,",",REPT(" ",LEN($B$1))),((ROWS($B$1:$B994)-1)*LEN($B$1))+1,LEN($B$1)))</f>
        <v/>
      </c>
    </row>
    <row r="995" spans="3:3" x14ac:dyDescent="0.15">
      <c r="C995" t="str">
        <f>TRIM(MID(SUBSTITUTE($B$1,",",REPT(" ",LEN($B$1))),((ROWS($B$1:$B995)-1)*LEN($B$1))+1,LEN($B$1)))</f>
        <v/>
      </c>
    </row>
    <row r="996" spans="3:3" x14ac:dyDescent="0.15">
      <c r="C996" t="str">
        <f>TRIM(MID(SUBSTITUTE($B$1,",",REPT(" ",LEN($B$1))),((ROWS($B$1:$B996)-1)*LEN($B$1))+1,LEN($B$1)))</f>
        <v/>
      </c>
    </row>
    <row r="997" spans="3:3" x14ac:dyDescent="0.15">
      <c r="C997" t="str">
        <f>TRIM(MID(SUBSTITUTE($B$1,",",REPT(" ",LEN($B$1))),((ROWS($B$1:$B997)-1)*LEN($B$1))+1,LEN($B$1)))</f>
        <v/>
      </c>
    </row>
    <row r="998" spans="3:3" x14ac:dyDescent="0.15">
      <c r="C998" t="str">
        <f>TRIM(MID(SUBSTITUTE($B$1,",",REPT(" ",LEN($B$1))),((ROWS($B$1:$B998)-1)*LEN($B$1))+1,LEN($B$1)))</f>
        <v/>
      </c>
    </row>
    <row r="999" spans="3:3" x14ac:dyDescent="0.15">
      <c r="C999" t="str">
        <f>TRIM(MID(SUBSTITUTE($B$1,",",REPT(" ",LEN($B$1))),((ROWS($B$1:$B999)-1)*LEN($B$1))+1,LEN($B$1)))</f>
        <v/>
      </c>
    </row>
    <row r="1000" spans="3:3" x14ac:dyDescent="0.15">
      <c r="C1000" t="str">
        <f>TRIM(MID(SUBSTITUTE($B$1,",",REPT(" ",LEN($B$1))),((ROWS($B$1:$B1000)-1)*LEN($B$1))+1,LEN($B$1)))</f>
        <v/>
      </c>
    </row>
    <row r="1001" spans="3:3" x14ac:dyDescent="0.15">
      <c r="C1001" t="str">
        <f>TRIM(MID(SUBSTITUTE($B$1,",",REPT(" ",LEN($B$1))),((ROWS($B$1:$B1001)-1)*LEN($B$1))+1,LEN($B$1)))</f>
        <v/>
      </c>
    </row>
    <row r="1002" spans="3:3" x14ac:dyDescent="0.15">
      <c r="C1002" t="str">
        <f>TRIM(MID(SUBSTITUTE($B$1,",",REPT(" ",LEN($B$1))),((ROWS($B$1:$B1002)-1)*LEN($B$1))+1,LEN($B$1)))</f>
        <v/>
      </c>
    </row>
    <row r="1003" spans="3:3" x14ac:dyDescent="0.15">
      <c r="C1003" t="str">
        <f>TRIM(MID(SUBSTITUTE($B$1,",",REPT(" ",LEN($B$1))),((ROWS($B$1:$B1003)-1)*LEN($B$1))+1,LEN($B$1)))</f>
        <v/>
      </c>
    </row>
    <row r="1004" spans="3:3" x14ac:dyDescent="0.15">
      <c r="C1004" t="str">
        <f>TRIM(MID(SUBSTITUTE($B$1,",",REPT(" ",LEN($B$1))),((ROWS($B$1:$B1004)-1)*LEN($B$1))+1,LEN($B$1)))</f>
        <v/>
      </c>
    </row>
    <row r="1005" spans="3:3" x14ac:dyDescent="0.15">
      <c r="C1005" t="str">
        <f>TRIM(MID(SUBSTITUTE($B$1,",",REPT(" ",LEN($B$1))),((ROWS($B$1:$B1005)-1)*LEN($B$1))+1,LEN($B$1)))</f>
        <v/>
      </c>
    </row>
    <row r="1006" spans="3:3" x14ac:dyDescent="0.15">
      <c r="C1006" t="str">
        <f>TRIM(MID(SUBSTITUTE($B$1,",",REPT(" ",LEN($B$1))),((ROWS($B$1:$B1006)-1)*LEN($B$1))+1,LEN($B$1)))</f>
        <v/>
      </c>
    </row>
    <row r="1007" spans="3:3" x14ac:dyDescent="0.15">
      <c r="C1007" t="str">
        <f>TRIM(MID(SUBSTITUTE($B$1,",",REPT(" ",LEN($B$1))),((ROWS($B$1:$B1007)-1)*LEN($B$1))+1,LEN($B$1)))</f>
        <v/>
      </c>
    </row>
    <row r="1008" spans="3:3" x14ac:dyDescent="0.15">
      <c r="C1008" t="str">
        <f>TRIM(MID(SUBSTITUTE($B$1,",",REPT(" ",LEN($B$1))),((ROWS($B$1:$B1008)-1)*LEN($B$1))+1,LEN($B$1)))</f>
        <v/>
      </c>
    </row>
    <row r="1009" spans="3:3" x14ac:dyDescent="0.15">
      <c r="C1009" t="str">
        <f>TRIM(MID(SUBSTITUTE($B$1,",",REPT(" ",LEN($B$1))),((ROWS($B$1:$B1009)-1)*LEN($B$1))+1,LEN($B$1)))</f>
        <v/>
      </c>
    </row>
    <row r="1010" spans="3:3" x14ac:dyDescent="0.15">
      <c r="C1010" t="str">
        <f>TRIM(MID(SUBSTITUTE($B$1,",",REPT(" ",LEN($B$1))),((ROWS($B$1:$B1010)-1)*LEN($B$1))+1,LEN($B$1)))</f>
        <v/>
      </c>
    </row>
    <row r="1011" spans="3:3" x14ac:dyDescent="0.15">
      <c r="C1011" t="str">
        <f>TRIM(MID(SUBSTITUTE($B$1,",",REPT(" ",LEN($B$1))),((ROWS($B$1:$B1011)-1)*LEN($B$1))+1,LEN($B$1)))</f>
        <v/>
      </c>
    </row>
    <row r="1012" spans="3:3" x14ac:dyDescent="0.15">
      <c r="C1012" t="str">
        <f>TRIM(MID(SUBSTITUTE($B$1,",",REPT(" ",LEN($B$1))),((ROWS($B$1:$B1012)-1)*LEN($B$1))+1,LEN($B$1)))</f>
        <v/>
      </c>
    </row>
    <row r="1013" spans="3:3" x14ac:dyDescent="0.15">
      <c r="C1013" t="str">
        <f>TRIM(MID(SUBSTITUTE($B$1,",",REPT(" ",LEN($B$1))),((ROWS($B$1:$B1013)-1)*LEN($B$1))+1,LEN($B$1)))</f>
        <v/>
      </c>
    </row>
    <row r="1014" spans="3:3" x14ac:dyDescent="0.15">
      <c r="C1014" t="str">
        <f>TRIM(MID(SUBSTITUTE($B$1,",",REPT(" ",LEN($B$1))),((ROWS($B$1:$B1014)-1)*LEN($B$1))+1,LEN($B$1)))</f>
        <v/>
      </c>
    </row>
    <row r="1015" spans="3:3" x14ac:dyDescent="0.15">
      <c r="C1015" t="str">
        <f>TRIM(MID(SUBSTITUTE($B$1,",",REPT(" ",LEN($B$1))),((ROWS($B$1:$B1015)-1)*LEN($B$1))+1,LEN($B$1)))</f>
        <v/>
      </c>
    </row>
    <row r="1016" spans="3:3" x14ac:dyDescent="0.15">
      <c r="C1016" t="str">
        <f>TRIM(MID(SUBSTITUTE($B$1,",",REPT(" ",LEN($B$1))),((ROWS($B$1:$B1016)-1)*LEN($B$1))+1,LEN($B$1)))</f>
        <v/>
      </c>
    </row>
    <row r="1017" spans="3:3" x14ac:dyDescent="0.15">
      <c r="C1017" t="str">
        <f>TRIM(MID(SUBSTITUTE($B$1,",",REPT(" ",LEN($B$1))),((ROWS($B$1:$B1017)-1)*LEN($B$1))+1,LEN($B$1)))</f>
        <v/>
      </c>
    </row>
    <row r="1018" spans="3:3" x14ac:dyDescent="0.15">
      <c r="C1018" t="str">
        <f>TRIM(MID(SUBSTITUTE($B$1,",",REPT(" ",LEN($B$1))),((ROWS($B$1:$B1018)-1)*LEN($B$1))+1,LEN($B$1)))</f>
        <v/>
      </c>
    </row>
    <row r="1019" spans="3:3" x14ac:dyDescent="0.15">
      <c r="C1019" t="str">
        <f>TRIM(MID(SUBSTITUTE($B$1,",",REPT(" ",LEN($B$1))),((ROWS($B$1:$B1019)-1)*LEN($B$1))+1,LEN($B$1)))</f>
        <v/>
      </c>
    </row>
    <row r="1020" spans="3:3" x14ac:dyDescent="0.15">
      <c r="C1020" t="str">
        <f>TRIM(MID(SUBSTITUTE($B$1,",",REPT(" ",LEN($B$1))),((ROWS($B$1:$B1020)-1)*LEN($B$1))+1,LEN($B$1)))</f>
        <v/>
      </c>
    </row>
    <row r="1021" spans="3:3" x14ac:dyDescent="0.15">
      <c r="C1021" t="str">
        <f>TRIM(MID(SUBSTITUTE($B$1,",",REPT(" ",LEN($B$1))),((ROWS($B$1:$B1021)-1)*LEN($B$1))+1,LEN($B$1)))</f>
        <v/>
      </c>
    </row>
    <row r="1022" spans="3:3" x14ac:dyDescent="0.15">
      <c r="C1022" t="str">
        <f>TRIM(MID(SUBSTITUTE($B$1,",",REPT(" ",LEN($B$1))),((ROWS($B$1:$B1022)-1)*LEN($B$1))+1,LEN($B$1)))</f>
        <v/>
      </c>
    </row>
    <row r="1023" spans="3:3" x14ac:dyDescent="0.15">
      <c r="C1023" t="str">
        <f>TRIM(MID(SUBSTITUTE($B$1,",",REPT(" ",LEN($B$1))),((ROWS($B$1:$B1023)-1)*LEN($B$1))+1,LEN($B$1)))</f>
        <v/>
      </c>
    </row>
    <row r="1024" spans="3:3" x14ac:dyDescent="0.15">
      <c r="C1024" t="str">
        <f>TRIM(MID(SUBSTITUTE($B$1,",",REPT(" ",LEN($B$1))),((ROWS($B$1:$B1024)-1)*LEN($B$1))+1,LEN($B$1)))</f>
        <v/>
      </c>
    </row>
  </sheetData>
  <phoneticPr fontId="2" type="noConversion"/>
  <dataValidations count="1">
    <dataValidation type="custom" allowBlank="1" showErrorMessage="1" sqref="D2:D101">
      <formula1>TRIM(MID(SUBSTITUTE($B$1,",",REPT(" ",LEN($B$1))),((ROWS($B$1:$B1)-1)*LEN($B$1))+1,LEN($B$1)))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6"/>
  <sheetViews>
    <sheetView topLeftCell="A4" workbookViewId="0">
      <selection activeCell="B16" sqref="B16"/>
    </sheetView>
  </sheetViews>
  <sheetFormatPr defaultRowHeight="13.5" x14ac:dyDescent="0.15"/>
  <cols>
    <col min="1" max="1" width="61.625" customWidth="1"/>
    <col min="2" max="2" width="68.125" customWidth="1"/>
    <col min="3" max="3" width="12.875" customWidth="1"/>
    <col min="4" max="4" width="2" customWidth="1"/>
    <col min="5" max="5" width="31.75" customWidth="1"/>
  </cols>
  <sheetData>
    <row r="1" spans="1:5" x14ac:dyDescent="0.15">
      <c r="A1" t="s">
        <v>23</v>
      </c>
      <c r="B1" t="s">
        <v>7</v>
      </c>
      <c r="C1" t="str">
        <f t="array" aca="1" ref="C1" ca="1">IF((ISNA(SUM(MATCH(MID(B1,ROW(INDIRECT("1:"&amp;LEN(B1))),1),MID(A1,ROW(INDIRECT("1:"&amp;LEN(A1))),1),0)))+ISNA(SUM(MATCH(MID(A1,ROW(INDIRECT("1:"&amp;LEN(A1))),1),MID(B1,ROW(INDIRECT("1:"&amp;LEN(B1))),1),0))))&gt;1,"No Match","Match")</f>
        <v>Match</v>
      </c>
      <c r="E1">
        <f>SUM(
     {1;2}
    )</f>
        <v>3</v>
      </c>
    </row>
    <row r="2" spans="1:5" x14ac:dyDescent="0.15">
      <c r="A2" t="s">
        <v>23</v>
      </c>
      <c r="B2" t="s">
        <v>24</v>
      </c>
      <c r="C2" t="str">
        <f t="array" aca="1" ref="C2" ca="1">IF((ISNA(SUM(MATCH(MID(B2,ROW(INDIRECT("1:"&amp;LEN(B2))),1),MID(A2,ROW(INDIRECT("1:"&amp;LEN(A2))),1),0)))+ISNA(SUM(MATCH(MID(A2,ROW(INDIRECT("1:"&amp;LEN(A2))),1),MID(B2,ROW(INDIRECT("1:"&amp;LEN(B2))),1),0))))&gt;1,"No Match","Match")</f>
        <v>Match</v>
      </c>
      <c r="E2">
        <f t="array" ref="E2">MATCH(
      {"A";"C";"E";"A";"D"},
      {"E";"A";"C";"D";"B"},
      0
     )</f>
        <v>2</v>
      </c>
    </row>
    <row r="3" spans="1:5" x14ac:dyDescent="0.15">
      <c r="A3" t="s">
        <v>23</v>
      </c>
      <c r="B3" t="s">
        <v>11</v>
      </c>
      <c r="C3" t="str">
        <f t="array" aca="1" ref="C3" ca="1">IF((ISNA(SUM(MATCH(MID(B3,ROW(INDIRECT("1:"&amp;LEN(B3))),1),MID(A3,ROW(INDIRECT("1:"&amp;LEN(A3))),1),0)))+ISNA(SUM(MATCH(MID(A3,ROW(INDIRECT("1:"&amp;LEN(A3))),1),MID(B3,ROW(INDIRECT("1:"&amp;LEN(B3))),1),0))))&gt;1,"No Match","Match")</f>
        <v>Match</v>
      </c>
      <c r="E3">
        <f>MATCH(
 {"A";"C";"D ";"AB";"AAA";"A";"DDD"},
 {"A";"B";"C";"D";"AA";"A";"AB";"AC";"AD";"ABC";"ABD";"ABCD";"BBB";"CC";"D";"DD";"AABCCDD";"AAAA"},
 0
 )</f>
        <v>1</v>
      </c>
    </row>
    <row r="4" spans="1:5" x14ac:dyDescent="0.15">
      <c r="A4" t="s">
        <v>7</v>
      </c>
      <c r="B4" t="s">
        <v>25</v>
      </c>
      <c r="C4" t="str">
        <f t="array" aca="1" ref="C4" ca="1">IF((ISNA(SUM(MATCH(MID(B4,ROW(INDIRECT("1:"&amp;LEN(B4))),1),MID(A4,ROW(INDIRECT("1:"&amp;LEN(A4))),1),0)))+ISNA(SUM(MATCH(MID(A4,ROW(INDIRECT("1:"&amp;LEN(A4))),1),MID(B4,ROW(INDIRECT("1:"&amp;LEN(B4))),1),0))))&gt;1,"No Match","Match")</f>
        <v>Match</v>
      </c>
      <c r="E4" t="e">
        <f>SUM(MATCH(
 {"A";"C";"D ";"AB";"AAA";"A";"DDD"},
 {"A";"B";"C";"D";"AA";"A";"AB";"AC";"AD";"ABC";"ABD";"ABCD";"BBB";"CC";"D";"DD";"AABCCDD";"AAAA"},
 0
 ))</f>
        <v>#N/A</v>
      </c>
    </row>
    <row r="5" spans="1:5" x14ac:dyDescent="0.15">
      <c r="A5" t="s">
        <v>26</v>
      </c>
      <c r="B5" t="s">
        <v>11</v>
      </c>
      <c r="C5" t="str">
        <f t="array" aca="1" ref="C5" ca="1">IF((ISNA(SUM(MATCH(MID(B5,ROW(INDIRECT("1:"&amp;LEN(B5))),1),MID(A5,ROW(INDIRECT("1:"&amp;LEN(A5))),1),0)))+ISNA(SUM(MATCH(MID(A5,ROW(INDIRECT("1:"&amp;LEN(A5))),1),MID(B5,ROW(INDIRECT("1:"&amp;LEN(B5))),1),0))))&gt;1,"No Match","Match")</f>
        <v>No Match</v>
      </c>
      <c r="E5">
        <f t="array" aca="1" ref="E5" ca="1">ROW(
        INDIRECT(
         "1:" &amp; LEN(B8)
        )
       )</f>
        <v>1</v>
      </c>
    </row>
    <row r="6" spans="1:5" x14ac:dyDescent="0.15">
      <c r="A6" t="s">
        <v>0</v>
      </c>
      <c r="B6" t="s">
        <v>27</v>
      </c>
      <c r="C6" t="str">
        <f t="array" aca="1" ref="C6" ca="1">IF((ISNA(SUM(MATCH(MID(B6,ROW(INDIRECT("1:"&amp;LEN(B6))),1),MID(A6,ROW(INDIRECT("1:"&amp;LEN(A6))),1),0)))+ISNA(SUM(MATCH(MID(A6,ROW(INDIRECT("1:"&amp;LEN(A6))),1),MID(B6,ROW(INDIRECT("1:"&amp;LEN(B6))),1),0))))&gt;1,"No Match","Match")</f>
        <v>Match</v>
      </c>
      <c r="E6">
        <f t="array" aca="1" ref="E6" ca="1">ROW(INDIRECT("1:20"))</f>
        <v>1</v>
      </c>
    </row>
    <row r="7" spans="1:5" x14ac:dyDescent="0.15">
      <c r="A7" t="s">
        <v>30</v>
      </c>
      <c r="B7" t="s">
        <v>29</v>
      </c>
      <c r="C7" t="str">
        <f t="array" aca="1" ref="C7" ca="1">IF((ISNA(SUM(MATCH(MID(B7,ROW(INDIRECT("1:"&amp;LEN(B7))),1),MID(A7,ROW(INDIRECT("1:"&amp;LEN(A7))),1),0)))+ISNA(SUM(MATCH(MID(A7,ROW(INDIRECT("1:"&amp;LEN(A7))),1),MID(B7,ROW(INDIRECT("1:"&amp;LEN(B7))),1),0))))&gt;1,"No Match","Match")</f>
        <v>Match</v>
      </c>
      <c r="E7">
        <f>FIND(CHAR(1),SUBSTITUTE(A15,",",CHAR(1),(LEN(A15)-LEN(SUBSTITUTE(A15,",","")))/LEN(",")))</f>
        <v>55</v>
      </c>
    </row>
    <row r="8" spans="1:5" x14ac:dyDescent="0.15">
      <c r="A8" t="s">
        <v>31</v>
      </c>
      <c r="B8" t="s">
        <v>32</v>
      </c>
      <c r="C8" t="str">
        <f t="array" aca="1" ref="C8" ca="1">IF((ISNA(SUM(MATCH(MID(B8,ROW(INDIRECT("1:"&amp;LEN(B8))),1),MID(A8,ROW(INDIRECT("1:"&amp;LEN(A8))),1),0)))+ISNA(SUM(MATCH(MID(A8,ROW(INDIRECT("1:"&amp;LEN(A8))),1),MID(B8,ROW(INDIRECT("1:"&amp;LEN(B8))),1),0))))&gt;1,"No Match","Match")</f>
        <v>Match</v>
      </c>
      <c r="E8">
        <f>LEN(A15)</f>
        <v>59</v>
      </c>
    </row>
    <row r="9" spans="1:5" x14ac:dyDescent="0.15">
      <c r="E9">
        <f>LEN(CLEAN(A15))</f>
        <v>59</v>
      </c>
    </row>
    <row r="10" spans="1:5" x14ac:dyDescent="0.15">
      <c r="E10">
        <f>LEN(CHAR(9)&amp;A1&amp;CHAR(10))</f>
        <v>6</v>
      </c>
    </row>
    <row r="11" spans="1:5" x14ac:dyDescent="0.15">
      <c r="E11">
        <f>LEN(CLEAN(CHAR(9)&amp;A1&amp;CHAR(10)))</f>
        <v>4</v>
      </c>
    </row>
    <row r="12" spans="1:5" x14ac:dyDescent="0.15">
      <c r="E12">
        <f>FIND(CHAR(9),SUBSTITUTE(CLEAN(A15),",",CHAR(9),(LEN(A15)-LEN(SUBSTITUTE(A15,",","")))/LEN(",")))</f>
        <v>55</v>
      </c>
    </row>
    <row r="13" spans="1:5" x14ac:dyDescent="0.15">
      <c r="E13">
        <f>FIND(
  CHAR(9),
  SUBSTITUTE(
   CLEAN(A15),
   ",",
   CHAR(9),
   (LEN(CLEAN(A15))-LEN(SUBSTITUTE(CLEAN(A15),",","")))/LEN(",")
  )
 )</f>
        <v>55</v>
      </c>
    </row>
    <row r="14" spans="1:5" x14ac:dyDescent="0.15">
      <c r="E14" t="str">
        <f>SUBSTITUTE("A,B,C,", ",", "-",2)</f>
        <v>A,B-C,</v>
      </c>
    </row>
    <row r="15" spans="1:5" x14ac:dyDescent="0.15">
      <c r="A15" t="s">
        <v>30</v>
      </c>
      <c r="B15" t="s">
        <v>35</v>
      </c>
      <c r="C15" t="str">
        <f t="array" aca="1" ref="C15" ca="1">IF(
    ISNA(
        SUM(
            MATCH(
                MID(
                    ","&amp;B15&amp;",",
                    FIND(
                        CHAR(9),
                        SUBSTITUTE(
                            ","&amp;B15&amp;",",
                            ",",
                            CHAR(9),
                            ROW(
                                INDIRECT(
                                    "1:"&amp;LEN(B15)-LEN(SUBSTITUTE(B15,",",""))+1
                                )
                            )
                        )
                    )
                    +
                    1,
                    FIND(
                        CHAR(9),
                        SUBSTITUTE(
                            ","&amp;B15&amp;",",
                            ",",
                            CHAR(9),
                            ROW(
                                INDIRECT(
                                    "2:"&amp;LEN(B15)-LEN(SUBSTITUTE(B15,",",""))+2
                                )
                            )
                        )
                    )
                    -
                    FIND(
                        CHAR(9),
                        SUBSTITUTE(
                            ","&amp;B15&amp;",",
                            ",",
                            CHAR(9),
                            ROW(
                                INDIRECT(
                                    "1:"&amp;LEN(B15)-LEN(SUBSTITUTE(B15,",",""))+1
                                )
                            )
                        )
                    )
                    -
                    1
                ),
                MID(
                    ","&amp;A15&amp;",",
                    FIND(
                        CHAR(9),
                        SUBSTITUTE(
                            ","&amp;A15&amp;",",
                            ",",
                            CHAR(9),
                            ROW(
                                INDIRECT(
                                    "1:"&amp;LEN(A15)-LEN(SUBSTITUTE(A15,",",""))+1
                                )
                            )
                        )
                    )
                    +
                    1,
                    FIND(
                        CHAR(9),
                        SUBSTITUTE(
                            ","&amp;A15&amp;",",
                            ",",
                            CHAR(9),
                            ROW(
                                INDIRECT(
                                    "2:"&amp;LEN(A15)-LEN(SUBSTITUTE(A15,",",""))+2
                                )
                            )
                        )
                    )
                    -
                    FIND(
                        CHAR(9),
                        SUBSTITUTE(
                            ","&amp;A15&amp;",",
                            ",",
                            CHAR(9),
                            ROW(
                                INDIRECT(
                                    "1:"&amp;LEN(A15)-LEN(SUBSTITUTE(A15,",",""))+1
                                )
                            )
                        )
                    )
                    -
                    1
                ),
                0
            )
        )
    ),
    "Invalid",
    "Valid"
)</f>
        <v>Valid</v>
      </c>
      <c r="E15" s="3"/>
    </row>
    <row r="16" spans="1:5" x14ac:dyDescent="0.15">
      <c r="A16" t="s">
        <v>30</v>
      </c>
      <c r="B16" t="s">
        <v>33</v>
      </c>
      <c r="C16" t="str">
        <f t="array" aca="1" ref="C16" ca="1">IF(
    ISNA(
        SUM(
            MATCH(
                MID(
                    ","&amp;B16&amp;",",
                    FIND(
                        CHAR(9),
                        SUBSTITUTE(
                            ","&amp;B16&amp;",",
                            ",",
                            CHAR(9),
                            ROW(
                                INDIRECT(
                                    "1:"&amp;LEN(B16)-LEN(SUBSTITUTE(B16,",",""))+1
                                )
                            )
                        )
                    )
                    +
                    1,
                    FIND(
                        CHAR(9),
                        SUBSTITUTE(
                            ","&amp;B16&amp;",",
                            ",",
                            CHAR(9),
                            ROW(
                                INDIRECT(
                                    "2:"&amp;LEN(B16)-LEN(SUBSTITUTE(B16,",",""))+2
                                )
                            )
                        )
                    )
                    -
                    FIND(
                        CHAR(9),
                        SUBSTITUTE(
                            ","&amp;B16&amp;",",
                            ",",
                            CHAR(9),
                            ROW(
                                INDIRECT(
                                    "1:"&amp;LEN(B16)-LEN(SUBSTITUTE(B16,",",""))+1
                                )
                            )
                        )
                    )
                    -
                    1
                ),
                MID(
                    ","&amp;A16&amp;",",
                    FIND(
                        CHAR(9),
                        SUBSTITUTE(
                            ","&amp;A16&amp;",",
                            ",",
                            CHAR(9),
                            ROW(
                                INDIRECT(
                                    "1:"&amp;LEN(A16)-LEN(SUBSTITUTE(A16,",",""))+1
                                )
                            )
                        )
                    )
                    +
                    1,
                    FIND(
                        CHAR(9),
                        SUBSTITUTE(
                            ","&amp;A16&amp;",",
                            ",",
                            CHAR(9),
                            ROW(
                                INDIRECT(
                                    "2:"&amp;LEN(A16)-LEN(SUBSTITUTE(A16,",",""))+2
                                )
                            )
                        )
                    )
                    -
                    FIND(
                        CHAR(9),
                        SUBSTITUTE(
                            ","&amp;A16&amp;",",
                            ",",
                            CHAR(9),
                            ROW(
                                INDIRECT(
                                    "1:"&amp;LEN(A16)-LEN(SUBSTITUTE(A16,",",""))+1
                                )
                            )
                        )
                    )
                    -
                    1
                ),
                0
            )
        )
    ),
    "Invalid",
    "Valid"
)</f>
        <v>Valid</v>
      </c>
      <c r="E16">
        <f ca="1">FIND(
        CHAR(9),
        IFERROR(
         SUBSTITUTE(
          B15,
          ",",
          CHAR(9),
          ROW(
           INDIRECT(
            "0:" &amp; (LEN(B15)-1)
           )
          )
         ),
         CHAR(9)&amp;B15
        )
       )</f>
        <v>1</v>
      </c>
    </row>
    <row r="17" spans="1:5" x14ac:dyDescent="0.15">
      <c r="A17" t="s">
        <v>30</v>
      </c>
      <c r="B17" t="s">
        <v>34</v>
      </c>
      <c r="C17" t="str">
        <f t="array" aca="1" ref="C17" ca="1">IF(
    ISNA(
        SUM(
            MATCH(
                MID(
                    ","&amp;B17&amp;",",
                    FIND(
                        CHAR(9),
                        SUBSTITUTE(
                            ","&amp;B17&amp;",",
                            ",",
                            CHAR(9),
                            ROW(
                                INDIRECT(
                                    "1:"&amp;LEN(B17)-LEN(SUBSTITUTE(B17,",",""))+1
                                )
                            )
                        )
                    )
                    +
                    1,
                    FIND(
                        CHAR(9),
                        SUBSTITUTE(
                            ","&amp;B17&amp;",",
                            ",",
                            CHAR(9),
                            ROW(
                                INDIRECT(
                                    "2:"&amp;LEN(B17)-LEN(SUBSTITUTE(B17,",",""))+2
                                )
                            )
                        )
                    )
                    -
                    FIND(
                        CHAR(9),
                        SUBSTITUTE(
                            ","&amp;B17&amp;",",
                            ",",
                            CHAR(9),
                            ROW(
                                INDIRECT(
                                    "1:"&amp;LEN(B17)-LEN(SUBSTITUTE(B17,",",""))+1
                                )
                            )
                        )
                    )
                    -
                    1
                ),
                MID(
                    ","&amp;A17&amp;",",
                    FIND(
                        CHAR(9),
                        SUBSTITUTE(
                            ","&amp;A17&amp;",",
                            ",",
                            CHAR(9),
                            ROW(
                                INDIRECT(
                                    "1:"&amp;LEN(A17)-LEN(SUBSTITUTE(A17,",",""))+1
                                )
                            )
                        )
                    )
                    +
                    1,
                    FIND(
                        CHAR(9),
                        SUBSTITUTE(
                            ","&amp;A17&amp;",",
                            ",",
                            CHAR(9),
                            ROW(
                                INDIRECT(
                                    "2:"&amp;LEN(A17)-LEN(SUBSTITUTE(A17,",",""))+2
                                )
                            )
                        )
                    )
                    -
                    FIND(
                        CHAR(9),
                        SUBSTITUTE(
                            ","&amp;A17&amp;",",
                            ",",
                            CHAR(9),
                            ROW(
                                INDIRECT(
                                    "1:"&amp;LEN(A17)-LEN(SUBSTITUTE(A17,",",""))+1
                                )
                            )
                        )
                    )
                    -
                    1
                ),
                0
            )
        )
    ),
    "Invalid",
    "Valid"
)</f>
        <v>Invalid</v>
      </c>
      <c r="E17" t="str">
        <f>MID(
       B15,
       {1;3;5;8;11;15;18;21;25},
       {2;4;7;10;14;17;20;24;26;#VALUE!;#VALUE!;#VALUE!;#VALUE!;#VALUE!;#VALUE!;#VALUE!;#VALUE!;#VALUE!;#VALUE!;#VALUE!;#VALUE!;#VALUE!;#VALUE!;#VALUE!;#VALUE!;#VALUE!;#VALUE!;#VALUE!;#VALUE!}
       -
       1
      )</f>
        <v>A</v>
      </c>
    </row>
    <row r="18" spans="1:5" x14ac:dyDescent="0.15">
      <c r="A18" t="s">
        <v>30</v>
      </c>
      <c r="E18" t="str">
        <f ca="1">MID(
       B15,
       {1;3;5;8;11;15;18;21;25},
       {2;4;7;10;14;17;20;24;26}
       -
       FIND(
        CHAR(9),
        SUBSTITUTE(
         ","&amp;B15,
         ",",
         CHAR(9),
         ROW(
          INDIRECT(
           "1:" &amp; LEN(B15)-LEN(SUBSTITUTE(B15,",",""))
          )
         )
        )
       )
      )</f>
        <v>A</v>
      </c>
    </row>
    <row r="19" spans="1:5" x14ac:dyDescent="0.15">
      <c r="A19" t="s">
        <v>30</v>
      </c>
      <c r="E19" t="str">
        <f t="array" aca="1" ref="E19" ca="1">MID(
                         ","&amp;B15&amp;",",
                         FIND(
                             CHAR(9),
                             SUBSTITUTE(
                                 ","&amp;B15&amp;",",
                                 ",",
                                 CHAR(9),
                                 ROW(
                                     INDIRECT(
                                         "1:"&amp;LEN(B15)-LEN(SUBSTITUTE(B15,",",""))+1
                                     )
                                 )
                             )
                         )
                         +
                         1,
                         FIND(
                             CHAR(9),
                             SUBSTITUTE(
                                 ","&amp;B15&amp;",",
                                 ",",
                                 CHAR(9),
                                 ROW(
                                     INDIRECT(
                                         "2:"&amp;LEN(B15)-LEN(SUBSTITUTE(B15,",",""))+2
                                     )
                                 )
                             )
                         )
                         -
                         FIND(
                             CHAR(9),
                             SUBSTITUTE(
                                 ","&amp;B15&amp;",",
                                 ",",
                                 CHAR(9),
                                 ROW(
                                     INDIRECT(
                                         "1:"&amp;LEN(B15)-LEN(SUBSTITUTE(B15,",",""))+1
                                     )
                                 )
                             )
                         )
                         -
                         1
                     )</f>
        <v>A</v>
      </c>
    </row>
    <row r="20" spans="1:5" x14ac:dyDescent="0.15">
      <c r="A20" t="s">
        <v>30</v>
      </c>
      <c r="E20" t="str">
        <f t="array" aca="1" ref="E20" ca="1" xml:space="preserve"> IF(
     (
         ISNA(
             SUM(
                 MATCH(
                     MID(
                         ","&amp;B15&amp;",",
                         FIND(
                             CHAR(9),
                             SUBSTITUTE(
                                 ","&amp;B15&amp;",",
                                 ",",
                                 CHAR(9),
                                 ROW(
                                     INDIRECT(
                                         "1:"&amp;LEN(B15)-LEN(SUBSTITUTE(B15,",",""))+1
                                     )
                                 )
                             )
                         )
                         +
                         1,
                         FIND(
                             CHAR(9),
                             SUBSTITUTE(
                                 ","&amp;B15&amp;",",
                                 ",",
                                 CHAR(9),
                                 ROW(
                                     INDIRECT(
                                         "2:"&amp;LEN(B15)-LEN(SUBSTITUTE(B15,",",""))+2
                                     )
                                 )
                             )
                         )
                         -
                         FIND(
                             CHAR(9),
                             SUBSTITUTE(
                                 ","&amp;B15&amp;",",
                                 ",",
                                 CHAR(9),
                                 ROW(
                                     INDIRECT(
                                         "1:"&amp;LEN(B15)-LEN(SUBSTITUTE(B15,",",""))+1
                                     )
                                 )
                             )
                         )
                         -
                         1
                     ),
                     MID(
                         ","&amp;A15&amp;",",
                         FIND(
                             CHAR(9),
                             SUBSTITUTE(
                                 ","&amp;A15&amp;",",
                                 ",",
                                 CHAR(9),
                                 ROW(
                                     INDIRECT(
                                         "1:"&amp;LEN(A15)-LEN(SUBSTITUTE(A15,",",""))+1
                                     )
                                 )
                             )
                         )
                         +
                         1,
                         FIND(
                             CHAR(9),
                             SUBSTITUTE(
                                 ","&amp;A15&amp;",",
                                 ",",
                                 CHAR(9),
                                 ROW(
                                     INDIRECT(
                                         "2:"&amp;LEN(A15)-LEN(SUBSTITUTE(A15,",",""))+2
                                     )
                                 )
                             )
                         )
                         -
                         FIND(
                             CHAR(9),
                             SUBSTITUTE(
                                 ","&amp;A15&amp;",",
                                 ",",
                                 CHAR(9),
                                 ROW(
                                     INDIRECT(
                                         "1:"&amp;LEN(A15)-LEN(SUBSTITUTE(A15,",",""))+1
                                     )
                                 )
                             )
                         )
                         -
                         1
                     ),
                     0
                 )
             )
         ) +
         ISNA(
             SUM(
                 MATCH(
                     MID(
                         ","&amp;A15&amp;",",
                         FIND(
                             CHAR(9),
                             SUBSTITUTE(
                                 ","&amp;A15&amp;",",
                                 ",",
                                 CHAR(9),
                                 ROW(
                                     INDIRECT(
                                         "1:"&amp;LEN(A15)-LEN(SUBSTITUTE(A15,",",""))+1
                                     )
                                 )
                             )
                         )
                         +
                         1,
                         FIND(
                             CHAR(9),
                             SUBSTITUTE(
                                 ","&amp;A15&amp;",",
                                 ",",
                                 CHAR(9),
                                 ROW(
                                     INDIRECT(
                                         "2:"&amp;LEN(A15)-LEN(SUBSTITUTE(A15,",",""))+2
                                     )
                                 )
                             )
                         )
                         -
                         FIND(
                             CHAR(9),
                             SUBSTITUTE(
                                 ","&amp;A15&amp;",",
                                 ",",
                                 CHAR(9),
                                 ROW(
                                     INDIRECT(
                                         "1:"&amp;LEN(A15)-LEN(SUBSTITUTE(A15,",",""))+1
                                     )
                                 )
                             )
                         )
                         -
                         1
                     ),
                     MID(
                         ","&amp;B15&amp;",",
                         FIND(
                             CHAR(9),
                             SUBSTITUTE(
                                 ","&amp;B15&amp;",",
                                 ",",
                                 CHAR(9),
                                 ROW(
                                     INDIRECT(
                                         "1:"&amp;LEN(B15)-LEN(SUBSTITUTE(B15,",",""))+1
                                     )
                                 )
                             )
                         )
                         +
                         1,
                         FIND(
                             CHAR(9),
                             SUBSTITUTE(
                                 ","&amp;B15&amp;",",
                                 ",",
                                 CHAR(9),
                                 ROW(
                                     INDIRECT(
                                         "2:"&amp;LEN(B15)-LEN(SUBSTITUTE(B15,",",""))+2
                                     )
                                 )
                             )
                         )
                         -
                         FIND(
                             CHAR(9),
                             SUBSTITUTE(
                                 ","&amp;B15&amp;",",
                                 ",",
                                 CHAR(9),
                                 ROW(
                                     INDIRECT(
                                         "1:"&amp;LEN(B15)-LEN(SUBSTITUTE(B15,",",""))+1
                                     )
                                 )
                             )
                         )
                         -
                         1
                     ),
                     0
                 )
             )
         )
     ) &gt; 1,
     "No Match",
     "Match"
 )</f>
        <v>Match</v>
      </c>
    </row>
    <row r="21" spans="1:5" x14ac:dyDescent="0.15">
      <c r="A21" t="s">
        <v>30</v>
      </c>
      <c r="E21">
        <f>{1;13;15;1;1;12}</f>
        <v>1</v>
      </c>
    </row>
    <row r="22" spans="1:5" x14ac:dyDescent="0.15">
      <c r="A22" t="s">
        <v>30</v>
      </c>
      <c r="E22" t="str">
        <f t="array" ref="E22">IF(
    ISNA(
        SUM(
            MATCH(
                1,
                --EXACT(
                 {"A";"C";"D ";"AB";"AAA"},
                 {"A";"B";"C";"D";"AA";"A";"AB";"AC";"AD";"ABC";"ABD";"ABCD";"BBB";"CC";"D";"DD";"AABCCDD";"AAAA"}
             ),
                0
            )
        )
    ),
    "Invalid",
    "Valid"
)</f>
        <v>Valid</v>
      </c>
    </row>
    <row r="23" spans="1:5" x14ac:dyDescent="0.15">
      <c r="A23" t="s">
        <v>30</v>
      </c>
      <c r="E23" t="b">
        <f t="array" ref="E23">EXACT({"A","B","C ","d"},{"A";"B";"C";"D";"E"})</f>
        <v>1</v>
      </c>
    </row>
    <row r="24" spans="1:5" x14ac:dyDescent="0.15">
      <c r="E24" t="str">
        <f t="array" aca="1" ref="E24" ca="1">MID(
    ","&amp;B15&amp;",",
    FIND(
        CHAR(9),
        SUBSTITUTE(
            ","&amp;B15&amp;",",
            ",",
            CHAR(9),
            ROW(
                INDIRECT(
                    "1:"&amp;LEN(B15)-LEN(SUBSTITUTE(B15,",",""))+1
                )
            )
        )
    )
    +
    1,
    FIND(
        CHAR(9),
        SUBSTITUTE(
            ","&amp;B15&amp;",",
            ",",
            CHAR(9),
            ROW(
                INDIRECT(
                    "2:"&amp;LEN(B15)-LEN(SUBSTITUTE(B15,",",""))+2
                )
            )
        )
    )
    -
    FIND(
        CHAR(9),
        SUBSTITUTE(
            ","&amp;B15&amp;",",
            ",",
            CHAR(9),
            ROW(
                INDIRECT(
                    "1:"&amp;LEN(B15)-LEN(SUBSTITUTE(B15,",",""))+1
                )
            )
        )
    )
    -
    1
)</f>
        <v>A</v>
      </c>
    </row>
    <row r="25" spans="1:5" x14ac:dyDescent="0.15">
      <c r="A25">
        <v>1</v>
      </c>
      <c r="B25">
        <v>2</v>
      </c>
      <c r="C25">
        <v>3</v>
      </c>
      <c r="E25">
        <f t="array" aca="1" ref="E25" ca="1">TRANSPOSE(ROW(INDIRECT("1:10")))</f>
        <v>1</v>
      </c>
    </row>
    <row r="26" spans="1:5" x14ac:dyDescent="0.15">
      <c r="A26">
        <v>4</v>
      </c>
      <c r="B26">
        <v>5</v>
      </c>
      <c r="C26">
        <v>6</v>
      </c>
      <c r="E26" t="str">
        <f>{"A","C","D ","AB","AAA"}</f>
        <v>A</v>
      </c>
    </row>
    <row r="27" spans="1:5" x14ac:dyDescent="0.15">
      <c r="A27">
        <v>7</v>
      </c>
      <c r="B27">
        <v>8</v>
      </c>
      <c r="C27">
        <v>9</v>
      </c>
      <c r="E27">
        <f t="array" ref="E27">SUM(--EXACT(
                 {"A","C","D ","AB","AAA"},
                 {"A";"B";"C";"D";"AA";"A";"AB";"AC";"AD";"ABC";"ABD";"ABCD";"BBB";"CC";"D";"DD";"AABCCDD";"AAAA"}
             ))</f>
        <v>4</v>
      </c>
    </row>
    <row r="28" spans="1:5" x14ac:dyDescent="0.15">
      <c r="E28">
        <f t="array" ref="E28">MATCH(
                 {"A","C","D ","AB","AAA"},
                 {"A";"B";"C";"D";"AA";"A";"AB";"AC";"AD";"ABC";"ABD";"ABCD";"BBB";"CC";"D";"DD";"AABCCDD";"AAAA"},0)</f>
        <v>1</v>
      </c>
    </row>
    <row r="29" spans="1:5" x14ac:dyDescent="0.15">
      <c r="E29">
        <f>SUMPRODUCT({1,2;3,4;5,6})</f>
        <v>21</v>
      </c>
    </row>
    <row r="30" spans="1:5" x14ac:dyDescent="0.15">
      <c r="E30">
        <f>VLOOKUP({0,0,1},{0,0,1;1,0,0;0,0,1;1,0,0},{1,2,3},FALSE)</f>
        <v>0</v>
      </c>
    </row>
    <row r="31" spans="1:5" x14ac:dyDescent="0.15">
      <c r="E31" t="b">
        <f t="array" ref="E31">{TRUE,FALSE,FALSE,FALSE,FALSE,TRUE,FALSE,FALSE,FALSE,FALSE,FALSE,FALSE,FALSE,FALSE,FALSE,FALSE,FALSE,FALSE;FALSE,FALSE,TRUE,FALSE,FALSE,FALSE,FALSE,FALSE,FALSE,FALSE,FALSE,FALSE,FALSE,FALSE,FALSE,FALSE,FALSE,FALSE;FALSE,FALSE,FALSE,FALSE,FALSE,FALSE,FALSE,FALSE,FALSE,FALSE,FALSE,FALSE,FALSE,FALSE,FALSE,FALSE,FALSE,FALSE;FALSE,FALSE,FALSE,FALSE,FALSE,FALSE,TRUE,FALSE,FALSE,FALSE,FALSE,FALSE,FALSE,FALSE,FALSE,FALSE,FALSE,FALSE;FALSE,FALSE,FALSE,FALSE,FALSE,FALSE,FALSE,FALSE,FALSE,FALSE,FALSE,FALSE,FALSE,FALSE,FALSE,FALSE,FALSE,FALSE}</f>
        <v>1</v>
      </c>
    </row>
    <row r="32" spans="1:5" x14ac:dyDescent="0.15">
      <c r="E32">
        <f ca="1">TRANSPOSE(
                              ROW(
                                  INDIRECT(
                                      "1:2"
                                  )
                              )
                             )</f>
        <v>1</v>
      </c>
    </row>
    <row r="33" spans="5:5" x14ac:dyDescent="0.15">
      <c r="E33">
        <f ca="1">SUM(E32)</f>
        <v>1</v>
      </c>
    </row>
    <row r="34" spans="5:5" x14ac:dyDescent="0.15">
      <c r="E34" t="s">
        <v>36</v>
      </c>
    </row>
    <row r="35" spans="5:5" x14ac:dyDescent="0.15">
      <c r="E35" t="e">
        <f ca="1">OFFSET(A25:C27,{1,2,3},,1,3)</f>
        <v>#VALUE!</v>
      </c>
    </row>
    <row r="36" spans="5:5" x14ac:dyDescent="0.15">
      <c r="E36">
        <f>SUMPRODUCT(--(MOD(A25:C27,2)=1),A25:C27)</f>
        <v>25</v>
      </c>
    </row>
    <row r="37" spans="5:5" x14ac:dyDescent="0.15">
      <c r="E37" t="e">
        <f>SUMPRODUCT(--(MOD(ROW(A25:C27),2)=1),A25:C27)</f>
        <v>#VALUE!</v>
      </c>
    </row>
    <row r="38" spans="5:5" x14ac:dyDescent="0.15">
      <c r="E38">
        <f t="array" aca="1" ref="E38" ca="1">OFFSET(A25:C27,ROW(A25:C27)-MIN(ROW(A25:C27)),0,1)</f>
        <v>1</v>
      </c>
    </row>
    <row r="39" spans="5:5" x14ac:dyDescent="0.15">
      <c r="E39">
        <f t="array" aca="1" ref="E39" ca="1">SUBTOTAL(9,OFFSET(A25:C27,ROW(A25:C27)-MIN(ROW(A25:C27)),0,1))</f>
        <v>6</v>
      </c>
    </row>
    <row r="40" spans="5:5" x14ac:dyDescent="0.15">
      <c r="E40">
        <f ca="1">SUMPRODUCT(--(SUBTOTAL(9,OFFSET(A25:C27,{0;1;2},0,1))&gt;7),SUBTOTAL(9,OFFSET(A25:C27,ROW(A25:C27)-MIN(ROW(A25:C27)),0,1)))</f>
        <v>39</v>
      </c>
    </row>
    <row r="41" spans="5:5" x14ac:dyDescent="0.15">
      <c r="E41" t="s">
        <v>37</v>
      </c>
    </row>
    <row r="42" spans="5:5" x14ac:dyDescent="0.15">
      <c r="E42" t="s">
        <v>38</v>
      </c>
    </row>
    <row r="43" spans="5:5" x14ac:dyDescent="0.15">
      <c r="E43">
        <f ca="1">ROW(
                                        INDIRECT(
                                            "1:"&amp;LEN(B15)-LEN(SUBSTITUTE(B15,",",""))+1
                                        )
                                    )</f>
        <v>1</v>
      </c>
    </row>
    <row r="44" spans="5:5" ht="189" x14ac:dyDescent="0.15">
      <c r="E44" s="3" t="s">
        <v>39</v>
      </c>
    </row>
    <row r="45" spans="5:5" x14ac:dyDescent="0.15">
      <c r="E45" t="e">
        <f t="array" ref="E45">SUBTOTAL(9,INDEX({1,0,0,0,0,1,0,0,0,0,0,0,0,0,0,0,0,0;0,0,1,0,0,0,0,0,0,0,0,0,0,0,0,0,0,0;0,0,0,1,0,0,0,0,0,0,0,0,0,0,1,0,0,0;0,0,0,0,0,0,1,0,0,0,0,0,0,0,0,0,0,0;0,0,0,0,0,0,0,0,0,0,0,0,0,0,0,0,0,1;0,0,0,0,0,0,0,0,0,0,0,0,0,0,0,0,0,0},{1;2;3;4;5;6}))</f>
        <v>#VALUE!</v>
      </c>
    </row>
    <row r="46" spans="5:5" x14ac:dyDescent="0.15">
      <c r="E46" t="e">
        <f ca="1">SUBTOTAL(9,INDEX(--EXACT(MID(","&amp;B15&amp;",",FIND(CHAR(9),SUBSTITUTE(","&amp;B15&amp;",",",",CHAR(9),ROW(INDIRECT("1:"&amp;LEN(B15)-LEN(SUBSTITUTE(B15,",",""))+1))))+1,FIND(CHAR(9),SUBSTITUTE(","&amp;B15&amp;",",",",CHAR(9),ROW(INDIRECT("2:"&amp;LEN(B15)-LEN(SUBSTITUTE(B15,",",""))+2))))-FIND(CHAR(9),SUBSTITUTE(","&amp;B15&amp;",",",",CHAR(9),ROW(INDIRECT("1:"&amp;LEN(B15)-LEN(SUBSTITUTE(B15,",",""))+1))))-1),MID(","&amp;A15&amp;",",FIND(CHAR(9),SUBSTITUTE(","&amp;A15&amp;",",",",CHAR(9),TRANSPOSE(ROW(INDIRECT("1:"&amp;LEN(A15)-LEN(SUBSTITUTE(A15,",",""))+1)))))+1,FIND(CHAR(9),SUBSTITUTE(","&amp;A15&amp;",",",",CHAR(9),TRANSPOSE(ROW(INDIRECT("2:"&amp;LEN(A15)-LEN(SUBSTITUTE(A15,",",""))+2)))))-FIND(CHAR(9),SUBSTITUTE(","&amp;A15&amp;",",",",CHAR(9),TRANSPOSE(ROW(INDIRECT("1:"&amp;LEN(A15)-LEN(SUBSTITUTE(A15,",",""))+1)))))-1)),ROW(INDIRECT("1:"&amp;LEN(B15)-LEN(SUBSTITUTE(B15,",",""))+1))-1))</f>
        <v>#VALUE!</v>
      </c>
    </row>
    <row r="47" spans="5:5" x14ac:dyDescent="0.15">
      <c r="E47">
        <f>SUM(A2:INDEX(A:A,ROW()-1))</f>
        <v>12</v>
      </c>
    </row>
    <row r="48" spans="5:5" x14ac:dyDescent="0.15">
      <c r="E48">
        <f ca="1">SUBTOTAL(9,A2:OFFSET(A300,-1,0))</f>
        <v>12</v>
      </c>
    </row>
    <row r="49" spans="5:5" x14ac:dyDescent="0.15">
      <c r="E49">
        <f>SUBTOTAL(9,A1:INDEX(A:A,ROW()-1))</f>
        <v>12</v>
      </c>
    </row>
    <row r="50" spans="5:5" x14ac:dyDescent="0.15">
      <c r="E50" t="e">
        <f>SUMPRODUCT(--(SUBTOTAL(9,INDEX({1,2,3;4,5,6;7,8,9},ROWS({1,2,3;4,5,6;7,8,9})))&gt;7),SUBTOTAL(9,INDEX({1,2,3;4,5,6;7,8,9},{1;2;3})))</f>
        <v>#VALUE!</v>
      </c>
    </row>
    <row r="51" spans="5:5" x14ac:dyDescent="0.15">
      <c r="E51" t="str">
        <f t="array" aca="1" ref="E51" ca="1">IF(ISERROR(INDEX(A1:A19,{1;2;3;4;5;6;7;8;15;16;17;#NUM!;#NUM!;#NUM!;#NUM!;#NUM!;#NUM!;#NUM!;#NUM!})),"",INDEX(A1:A19,SMALL(IF(C1:C19&gt;0,ROW(INDIRECT("1:"&amp;ROWS(C1:C19)))),ROW(INDIRECT("1:"&amp;ROWS(C1:C19))))))</f>
        <v>ACDB</v>
      </c>
    </row>
    <row r="52" spans="5:5" x14ac:dyDescent="0.15">
      <c r="E52" t="e">
        <f t="array" aca="1" ref="E52" ca="1">SUMPRODUCT(--(SUBTOTAL(9,INDEX(--EXACT(MID(","&amp;B15&amp;",",FIND(CHAR(9),SUBSTITUTE(","&amp;B15&amp;",",",",CHAR(9),ROW(INDIRECT("1:"&amp;LEN(B15)-LEN(SUBSTITUTE(B15,",",""))+1))))+1,FIND(CHAR(9),SUBSTITUTE(","&amp;B15&amp;",",",",CHAR(9),ROW(INDIRECT("2:"&amp;LEN(B15)-LEN(SUBSTITUTE(B15,",",""))+2))))-FIND(CHAR(9),SUBSTITUTE(","&amp;B15&amp;",",",",CHAR(9),ROW(INDIRECT("1:"&amp;LEN(B15)-LEN(SUBSTITUTE(B15,",",""))+1))))-1),MID(","&amp;A15&amp;",",FIND(CHAR(9),SUBSTITUTE(","&amp;A15&amp;",",",",CHAR(9),TRANSPOSE(ROW(INDIRECT("1:"&amp;LEN(A15)-LEN(SUBSTITUTE(A15,",",""))+1)))))+1,FIND(CHAR(9),SUBSTITUTE(","&amp;A15&amp;",",",",CHAR(9),TRANSPOSE(ROW(INDIRECT("2:"&amp;LEN(A15)-LEN(SUBSTITUTE(A15,",",""))+2)))))-FIND(CHAR(9),SUBSTITUTE(","&amp;A15&amp;",",",",CHAR(9),TRANSPOSE(ROW(INDIRECT("1:"&amp;LEN(A15)-LEN(SUBSTITUTE(A15,",",""))+1)))))-1)),ROW(INDIRECT("1:"&amp;LEN(B15)-LEN(SUBSTITUTE(B15,",",""))+1))-1))&lt;&gt;1),SUBTOTAL(9,INDEX(--EXACT(MID(","&amp;B15&amp;",",FIND(CHAR(9),SUBSTITUTE(","&amp;B15&amp;",",",",CHAR(9),ROW(INDIRECT("1:"&amp;LEN(B15)-LEN(SUBSTITUTE(B15,",",""))+1))))+1,FIND(CHAR(9),SUBSTITUTE(","&amp;B15&amp;",",",",CHAR(9),ROW(INDIRECT("2:"&amp;LEN(B15)-LEN(SUBSTITUTE(B15,",",""))+2))))-FIND(CHAR(9),SUBSTITUTE(","&amp;B15&amp;",",",",CHAR(9),ROW(INDIRECT("1:"&amp;LEN(B15)-LEN(SUBSTITUTE(B15,",",""))+1))))-1),MID(","&amp;A15&amp;",",FIND(CHAR(9),SUBSTITUTE(","&amp;A15&amp;",",",",CHAR(9),TRANSPOSE(ROW(INDIRECT("1:"&amp;LEN(A15)-LEN(SUBSTITUTE(A15,",",""))+1)))))+1,FIND(CHAR(9),SUBSTITUTE(","&amp;A15&amp;",",",",CHAR(9),TRANSPOSE(ROW(INDIRECT("2:"&amp;LEN(A15)-LEN(SUBSTITUTE(A15,",",""))+2)))))-FIND(CHAR(9),SUBSTITUTE(","&amp;A15&amp;",",",",CHAR(9),TRANSPOSE(ROW(INDIRECT("1:"&amp;LEN(A15)-LEN(SUBSTITUTE(A15,",",""))+1)))))-1)),ROW(INDIRECT("1:"&amp;LEN(B15)-LEN(SUBSTITUTE(B15,",",""))+1))-1)))</f>
        <v>#VALUE!</v>
      </c>
    </row>
    <row r="53" spans="5:5" x14ac:dyDescent="0.15">
      <c r="E53">
        <f>SUM(VLOOKUP({1;0},{1,0,0;0,1,1;0,0,0;0,1,0},{1,2,3},FALSE))</f>
        <v>1</v>
      </c>
    </row>
    <row r="54" spans="5:5" x14ac:dyDescent="0.15">
      <c r="E54" t="e">
        <f t="array" aca="1" ref="E54" ca="1">SUMPRODUCT(--(SUBTOTAL(9,INDEX(--EXACT(MID(","&amp;B15&amp;",",FIND(CHAR(9),SUBSTITUTE(","&amp;B15&amp;",",",",CHAR(9),ROW(INDIRECT("1:"&amp;LEN(B15)-LEN(SUBSTITUTE(B15,",",""))+1))))+1,FIND(CHAR(9),SUBSTITUTE(","&amp;B15&amp;",",",",CHAR(9),ROW(INDIRECT("2:"&amp;LEN(B15)-LEN(SUBSTITUTE(B15,",",""))+2))))-FIND(CHAR(9),SUBSTITUTE(","&amp;B15&amp;",",",",CHAR(9),ROW(INDIRECT("1:"&amp;LEN(B15)-LEN(SUBSTITUTE(B15,",",""))+1))))-1),MID(","&amp;A15&amp;",",FIND(CHAR(9),SUBSTITUTE(","&amp;A15&amp;",",",",CHAR(9),TRANSPOSE(ROW(INDIRECT("1:"&amp;LEN(A15)-LEN(SUBSTITUTE(A15,",",""))+1)))))+1,FIND(CHAR(9),SUBSTITUTE(","&amp;A15&amp;",",",",CHAR(9),TRANSPOSE(ROW(INDIRECT("2:"&amp;LEN(A15)-LEN(SUBSTITUTE(A15,",",""))+2)))))-FIND(CHAR(9),SUBSTITUTE(","&amp;A15&amp;",",",",CHAR(9),TRANSPOSE(ROW(INDIRECT("1:"&amp;LEN(A15)-LEN(SUBSTITUTE(A15,",",""))+1)))))-1)),ROW(INDIRECT("1:"&amp;LEN(B15)-LEN(SUBSTITUTE(B15,",",""))+1))-1))&lt;&gt;1))</f>
        <v>#VALUE!</v>
      </c>
    </row>
    <row r="55" spans="5:5" x14ac:dyDescent="0.15">
      <c r="E55">
        <f>SUMPRODUCT(--(MMULT(--({1,0,0;0,1,1;0,0,0;0,1,0}),ROW($1:$3)/ROW($1:$3))&gt;1))</f>
        <v>1</v>
      </c>
    </row>
    <row r="56" spans="5:5" x14ac:dyDescent="0.15">
      <c r="E56">
        <f t="array" aca="1" ref="E56" ca="1">SUMPRODUCT(--(MMULT(--EXACT(MID(","&amp;B15&amp;",",FIND(CHAR(9),SUBSTITUTE(","&amp;B15&amp;",",",",CHAR(9),ROW(INDIRECT("1:"&amp;LEN(B15)-LEN(SUBSTITUTE(B15,",",""))+1))))+1,FIND(CHAR(9),SUBSTITUTE(","&amp;B15&amp;",",",",CHAR(9),ROW(INDIRECT("2:"&amp;LEN(B15)-LEN(SUBSTITUTE(B15,",",""))+2))))-FIND(CHAR(9),SUBSTITUTE(","&amp;B15&amp;",",",",CHAR(9),ROW(INDIRECT("1:"&amp;LEN(B15)-LEN(SUBSTITUTE(B15,",",""))+1))))-1),MID(","&amp;A15&amp;",",FIND(CHAR(9),SUBSTITUTE(","&amp;A15&amp;",",",",CHAR(9),TRANSPOSE(ROW(INDIRECT("1:"&amp;LEN(A15)-LEN(SUBSTITUTE(A15,",",""))+1)))))+1,FIND(CHAR(9),SUBSTITUTE(","&amp;A15&amp;",",",",CHAR(9),TRANSPOSE(ROW(INDIRECT("2:"&amp;LEN(A15)-LEN(SUBSTITUTE(A15,",",""))+2)))))-FIND(CHAR(9),SUBSTITUTE(","&amp;A15&amp;",",",",CHAR(9),TRANSPOSE(ROW(INDIRECT("1:"&amp;LEN(A15)-LEN(SUBSTITUTE(A15,",",""))+1)))))-1)),ROW(INDIRECT("1:"&amp;LEN(A15)-LEN(SUBSTITUTE(A15,",",""))+1))/ROW(INDIRECT("1:"&amp;LEN(A15)-LEN(SUBSTITUTE(A15,",",""))+1)))&gt;1))</f>
        <v>2</v>
      </c>
    </row>
  </sheetData>
  <phoneticPr fontId="2" type="noConversion"/>
  <dataValidations count="1">
    <dataValidation type="custom" allowBlank="1" showErrorMessage="1" sqref="C1:C8">
      <formula1>TRIM(MID(SUBSTITUTE($B$1,",",REPT(" ",LEN($B$1))),((ROWS($B$1:$B1048576)-1)*LEN($B$1))+1,LEN($B$1)))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7"/>
  <sheetViews>
    <sheetView topLeftCell="B49" workbookViewId="0">
      <selection activeCell="E57" sqref="E57"/>
    </sheetView>
  </sheetViews>
  <sheetFormatPr defaultRowHeight="13.5" x14ac:dyDescent="0.15"/>
  <cols>
    <col min="1" max="1" width="61.625" customWidth="1"/>
    <col min="2" max="2" width="75.625" customWidth="1"/>
    <col min="3" max="3" width="12.875" customWidth="1"/>
    <col min="4" max="4" width="2" customWidth="1"/>
    <col min="5" max="5" width="31.75" customWidth="1"/>
  </cols>
  <sheetData>
    <row r="1" spans="1:5" x14ac:dyDescent="0.15">
      <c r="A1" t="s">
        <v>23</v>
      </c>
      <c r="B1" t="s">
        <v>7</v>
      </c>
      <c r="C1" t="str">
        <f t="array" aca="1" ref="C1" ca="1">IF((ISNA(SUM(MATCH(MID(B1,ROW(INDIRECT("1:"&amp;LEN(B1))),1),MID(A1,ROW(INDIRECT("1:"&amp;LEN(A1))),1),0)))+ISNA(SUM(MATCH(MID(A1,ROW(INDIRECT("1:"&amp;LEN(A1))),1),MID(B1,ROW(INDIRECT("1:"&amp;LEN(B1))),1),0))))&gt;1,"No Match","Match")</f>
        <v>Match</v>
      </c>
      <c r="E1">
        <f>SUM(
     {1;2}
    )</f>
        <v>3</v>
      </c>
    </row>
    <row r="2" spans="1:5" x14ac:dyDescent="0.15">
      <c r="A2" t="s">
        <v>23</v>
      </c>
      <c r="B2" t="s">
        <v>24</v>
      </c>
      <c r="C2" t="str">
        <f t="array" aca="1" ref="C2" ca="1">IF((ISNA(SUM(MATCH(MID(B2,ROW(INDIRECT("1:"&amp;LEN(B2))),1),MID(A2,ROW(INDIRECT("1:"&amp;LEN(A2))),1),0)))+ISNA(SUM(MATCH(MID(A2,ROW(INDIRECT("1:"&amp;LEN(A2))),1),MID(B2,ROW(INDIRECT("1:"&amp;LEN(B2))),1),0))))&gt;1,"No Match","Match")</f>
        <v>Match</v>
      </c>
      <c r="E2">
        <f t="array" ref="E2">MATCH(
      {"A";"C";"E";"A";"D"},
      {"E";"A";"C";"D";"B"},
      0
     )</f>
        <v>2</v>
      </c>
    </row>
    <row r="3" spans="1:5" x14ac:dyDescent="0.15">
      <c r="A3" t="s">
        <v>23</v>
      </c>
      <c r="B3" t="s">
        <v>11</v>
      </c>
      <c r="C3" t="str">
        <f t="array" aca="1" ref="C3" ca="1">IF((ISNA(SUM(MATCH(MID(B3,ROW(INDIRECT("1:"&amp;LEN(B3))),1),MID(A3,ROW(INDIRECT("1:"&amp;LEN(A3))),1),0)))+ISNA(SUM(MATCH(MID(A3,ROW(INDIRECT("1:"&amp;LEN(A3))),1),MID(B3,ROW(INDIRECT("1:"&amp;LEN(B3))),1),0))))&gt;1,"No Match","Match")</f>
        <v>Match</v>
      </c>
      <c r="E3">
        <f>MATCH(
 {"A";"C";"D ";"AB";"AAA";"A";"DDD"},
 {"A";"B";"C";"D";"AA";"A";"AB";"AC";"AD";"ABC";"ABD";"ABCD";"BBB";"CC";"D";"DD";"AABCCDD";"AAAA"},
 0
 )</f>
        <v>1</v>
      </c>
    </row>
    <row r="4" spans="1:5" x14ac:dyDescent="0.15">
      <c r="A4" t="s">
        <v>7</v>
      </c>
      <c r="B4" t="s">
        <v>25</v>
      </c>
      <c r="C4" t="str">
        <f t="array" aca="1" ref="C4" ca="1">IF((ISNA(SUM(MATCH(MID(B4,ROW(INDIRECT("1:"&amp;LEN(B4))),1),MID(A4,ROW(INDIRECT("1:"&amp;LEN(A4))),1),0)))+ISNA(SUM(MATCH(MID(A4,ROW(INDIRECT("1:"&amp;LEN(A4))),1),MID(B4,ROW(INDIRECT("1:"&amp;LEN(B4))),1),0))))&gt;1,"No Match","Match")</f>
        <v>Match</v>
      </c>
      <c r="E4" t="e">
        <f>SUM(MATCH(
 {"A";"C";"D ";"AB";"AAA";"A";"DDD"},
 {"A";"B";"C";"D";"AA";"A";"AB";"AC";"AD";"ABC";"ABD";"ABCD";"BBB";"CC";"D";"DD";"AABCCDD";"AAAA"},
 0
 ))</f>
        <v>#N/A</v>
      </c>
    </row>
    <row r="5" spans="1:5" x14ac:dyDescent="0.15">
      <c r="A5" t="s">
        <v>26</v>
      </c>
      <c r="B5" t="s">
        <v>11</v>
      </c>
      <c r="C5" t="str">
        <f t="array" aca="1" ref="C5" ca="1">IF((ISNA(SUM(MATCH(MID(B5,ROW(INDIRECT("1:"&amp;LEN(B5))),1),MID(A5,ROW(INDIRECT("1:"&amp;LEN(A5))),1),0)))+ISNA(SUM(MATCH(MID(A5,ROW(INDIRECT("1:"&amp;LEN(A5))),1),MID(B5,ROW(INDIRECT("1:"&amp;LEN(B5))),1),0))))&gt;1,"No Match","Match")</f>
        <v>No Match</v>
      </c>
      <c r="E5">
        <f t="array" aca="1" ref="E5" ca="1">ROW(
        INDIRECT(
         "1:" &amp; LEN(B8)
        )
       )</f>
        <v>1</v>
      </c>
    </row>
    <row r="6" spans="1:5" x14ac:dyDescent="0.15">
      <c r="A6" t="s">
        <v>0</v>
      </c>
      <c r="B6" t="s">
        <v>27</v>
      </c>
      <c r="C6" t="str">
        <f t="array" aca="1" ref="C6" ca="1">IF((ISNA(SUM(MATCH(MID(B6,ROW(INDIRECT("1:"&amp;LEN(B6))),1),MID(A6,ROW(INDIRECT("1:"&amp;LEN(A6))),1),0)))+ISNA(SUM(MATCH(MID(A6,ROW(INDIRECT("1:"&amp;LEN(A6))),1),MID(B6,ROW(INDIRECT("1:"&amp;LEN(B6))),1),0))))&gt;1,"No Match","Match")</f>
        <v>Match</v>
      </c>
      <c r="E6">
        <f t="array" aca="1" ref="E6" ca="1">ROW(INDIRECT("1:20"))</f>
        <v>1</v>
      </c>
    </row>
    <row r="7" spans="1:5" x14ac:dyDescent="0.15">
      <c r="A7" t="s">
        <v>30</v>
      </c>
      <c r="B7" t="s">
        <v>29</v>
      </c>
      <c r="C7" t="str">
        <f t="array" aca="1" ref="C7" ca="1">IF((ISNA(SUM(MATCH(MID(B7,ROW(INDIRECT("1:"&amp;LEN(B7))),1),MID(A7,ROW(INDIRECT("1:"&amp;LEN(A7))),1),0)))+ISNA(SUM(MATCH(MID(A7,ROW(INDIRECT("1:"&amp;LEN(A7))),1),MID(B7,ROW(INDIRECT("1:"&amp;LEN(B7))),1),0))))&gt;1,"No Match","Match")</f>
        <v>Match</v>
      </c>
      <c r="E7">
        <f>FIND(CHAR(1),SUBSTITUTE(A15,",",CHAR(1),(LEN(A15)-LEN(SUBSTITUTE(A15,",","")))/LEN(",")))</f>
        <v>51</v>
      </c>
    </row>
    <row r="8" spans="1:5" x14ac:dyDescent="0.15">
      <c r="A8" t="s">
        <v>31</v>
      </c>
      <c r="B8" t="s">
        <v>32</v>
      </c>
      <c r="C8" t="str">
        <f t="array" aca="1" ref="C8" ca="1">IF((ISNA(SUM(MATCH(MID(B8,ROW(INDIRECT("1:"&amp;LEN(B8))),1),MID(A8,ROW(INDIRECT("1:"&amp;LEN(A8))),1),0)))+ISNA(SUM(MATCH(MID(A8,ROW(INDIRECT("1:"&amp;LEN(A8))),1),MID(B8,ROW(INDIRECT("1:"&amp;LEN(B8))),1),0))))&gt;1,"No Match","Match")</f>
        <v>Match</v>
      </c>
      <c r="E8">
        <f>LEN(A15)</f>
        <v>55</v>
      </c>
    </row>
    <row r="9" spans="1:5" x14ac:dyDescent="0.15">
      <c r="E9">
        <f>LEN(CLEAN(A15))</f>
        <v>55</v>
      </c>
    </row>
    <row r="10" spans="1:5" x14ac:dyDescent="0.15">
      <c r="E10">
        <f>LEN(CHAR(9)&amp;A1&amp;CHAR(10))</f>
        <v>6</v>
      </c>
    </row>
    <row r="11" spans="1:5" x14ac:dyDescent="0.15">
      <c r="E11">
        <f>LEN(CLEAN(CHAR(9)&amp;A1&amp;CHAR(10)))</f>
        <v>4</v>
      </c>
    </row>
    <row r="12" spans="1:5" x14ac:dyDescent="0.15">
      <c r="E12">
        <f>FIND(CHAR(9),SUBSTITUTE(CLEAN(A15),",",CHAR(9),(LEN(A15)-LEN(SUBSTITUTE(A15,",","")))/LEN(",")))</f>
        <v>51</v>
      </c>
    </row>
    <row r="13" spans="1:5" x14ac:dyDescent="0.15">
      <c r="E13">
        <f>FIND(
  CHAR(9),
  SUBSTITUTE(
   CLEAN(A15),
   ",",
   CHAR(9),
   (LEN(CLEAN(A15))-LEN(SUBSTITUTE(CLEAN(A15),",","")))/LEN(",")
  )
 )</f>
        <v>51</v>
      </c>
    </row>
    <row r="14" spans="1:5" x14ac:dyDescent="0.15">
      <c r="E14" t="str">
        <f>SUBSTITUTE("A,B,C,", ",", "-",2)</f>
        <v>A,B-C,</v>
      </c>
    </row>
    <row r="15" spans="1:5" x14ac:dyDescent="0.15">
      <c r="A15" t="s">
        <v>44</v>
      </c>
      <c r="B15" t="s">
        <v>50</v>
      </c>
      <c r="C15" t="str">
        <f t="array" aca="1" ref="C15" ca="1">IF(SUMPRODUCT(--(MMULT(--EXACT(MID(","&amp;B15&amp;",",FIND(CHAR(9),SUBSTITUTE(","&amp;B15&amp;",",",",CHAR(9),ROW(INDIRECT("1:"&amp;LEN(B15)-LEN(SUBSTITUTE(B15,",",""))+1))))+1,FIND(CHAR(9),SUBSTITUTE(","&amp;B15&amp;",",",",CHAR(9),ROW(INDIRECT("2:"&amp;LEN(B15)-LEN(SUBSTITUTE(B15,",",""))+2))))-FIND(CHAR(9),SUBSTITUTE(","&amp;B15&amp;",",",",CHAR(9),ROW(INDIRECT("1:"&amp;LEN(B15)-LEN(SUBSTITUTE(B15,",",""))+1))))-1),MID(","&amp;A15&amp;",",FIND(CHAR(9),SUBSTITUTE(","&amp;A15&amp;",",",",CHAR(9),TRANSPOSE(ROW(INDIRECT("1:"&amp;LEN(A15)-LEN(SUBSTITUTE(A15,",",""))+1)))))+1,FIND(CHAR(9),SUBSTITUTE(","&amp;A15&amp;",",",",CHAR(9),TRANSPOSE(ROW(INDIRECT("2:"&amp;LEN(A15)-LEN(SUBSTITUTE(A15,",",""))+2)))))-FIND(CHAR(9),SUBSTITUTE(","&amp;A15&amp;",",",",CHAR(9),TRANSPOSE(ROW(INDIRECT("1:"&amp;LEN(A15)-LEN(SUBSTITUTE(A15,",",""))+1)))))-1)),ROW(INDIRECT("1:"&amp;LEN(A15)-LEN(SUBSTITUTE(A15,",",""))+1))/ROW(INDIRECT("1:"&amp;LEN(A15)-LEN(SUBSTITUTE(A15,",",""))+1)))&lt;&gt;1))&gt;0,"Invalid","Valid")</f>
        <v>Invalid</v>
      </c>
      <c r="E15" s="3"/>
    </row>
    <row r="16" spans="1:5" x14ac:dyDescent="0.15">
      <c r="A16" t="s">
        <v>44</v>
      </c>
      <c r="B16" t="s">
        <v>43</v>
      </c>
      <c r="C16" t="str">
        <f t="array" aca="1" ref="C16" ca="1">IF(SUMPRODUCT(--(MMULT(--EXACT(MID(","&amp;B16&amp;",",FIND(CHAR(9),SUBSTITUTE(","&amp;B16&amp;",",",",CHAR(9),ROW(INDIRECT("1:"&amp;LEN(B16)-LEN(SUBSTITUTE(B16,",",""))+1))))+1,FIND(CHAR(9),SUBSTITUTE(","&amp;B16&amp;",",",",CHAR(9),ROW(INDIRECT("2:"&amp;LEN(B16)-LEN(SUBSTITUTE(B16,",",""))+2))))-FIND(CHAR(9),SUBSTITUTE(","&amp;B16&amp;",",",",CHAR(9),ROW(INDIRECT("1:"&amp;LEN(B16)-LEN(SUBSTITUTE(B16,",",""))+1))))-1),MID(","&amp;A16&amp;",",FIND(CHAR(9),SUBSTITUTE(","&amp;A16&amp;",",",",CHAR(9),TRANSPOSE(ROW(INDIRECT("1:"&amp;LEN(A16)-LEN(SUBSTITUTE(A16,",",""))+1)))))+1,FIND(CHAR(9),SUBSTITUTE(","&amp;A16&amp;",",",",CHAR(9),TRANSPOSE(ROW(INDIRECT("2:"&amp;LEN(A16)-LEN(SUBSTITUTE(A16,",",""))+2)))))-FIND(CHAR(9),SUBSTITUTE(","&amp;A16&amp;",",",",CHAR(9),TRANSPOSE(ROW(INDIRECT("1:"&amp;LEN(A16)-LEN(SUBSTITUTE(A16,",",""))+1)))))-1)),ROW(INDIRECT("1:"&amp;LEN(A16)-LEN(SUBSTITUTE(A16,",",""))+1))/ROW(INDIRECT("1:"&amp;LEN(A16)-LEN(SUBSTITUTE(A16,",",""))+1)))&lt;&gt;1))&gt;0,"Invalid","Valid")</f>
        <v>Valid</v>
      </c>
      <c r="E16">
        <f ca="1">FIND(
        CHAR(9),
        IFERROR(
         SUBSTITUTE(
          B15,
          ",",
          CHAR(9),
          ROW(
           INDIRECT(
            "0:" &amp; (LEN(B15)-1)
           )
          )
         ),
         CHAR(9)&amp;B15
        )
       )</f>
        <v>1</v>
      </c>
    </row>
    <row r="17" spans="1:5" x14ac:dyDescent="0.15">
      <c r="A17" t="s">
        <v>44</v>
      </c>
      <c r="B17" t="s">
        <v>34</v>
      </c>
      <c r="C17" t="str">
        <f t="array" aca="1" ref="C17" ca="1">IF(SUMPRODUCT(--(MMULT(--EXACT(MID(","&amp;B17&amp;",",FIND(CHAR(9),SUBSTITUTE(","&amp;B17&amp;",",",",CHAR(9),ROW(INDIRECT("1:"&amp;LEN(B17)-LEN(SUBSTITUTE(B17,",",""))+1))))+1,FIND(CHAR(9),SUBSTITUTE(","&amp;B17&amp;",",",",CHAR(9),ROW(INDIRECT("2:"&amp;LEN(B17)-LEN(SUBSTITUTE(B17,",",""))+2))))-FIND(CHAR(9),SUBSTITUTE(","&amp;B17&amp;",",",",CHAR(9),ROW(INDIRECT("1:"&amp;LEN(B17)-LEN(SUBSTITUTE(B17,",",""))+1))))-1),MID(","&amp;A17&amp;",",FIND(CHAR(9),SUBSTITUTE(","&amp;A17&amp;",",",",CHAR(9),TRANSPOSE(ROW(INDIRECT("1:"&amp;LEN(A17)-LEN(SUBSTITUTE(A17,",",""))+1)))))+1,FIND(CHAR(9),SUBSTITUTE(","&amp;A17&amp;",",",",CHAR(9),TRANSPOSE(ROW(INDIRECT("2:"&amp;LEN(A17)-LEN(SUBSTITUTE(A17,",",""))+2)))))-FIND(CHAR(9),SUBSTITUTE(","&amp;A17&amp;",",",",CHAR(9),TRANSPOSE(ROW(INDIRECT("1:"&amp;LEN(A17)-LEN(SUBSTITUTE(A17,",",""))+1)))))-1)),ROW(INDIRECT("1:"&amp;LEN(A17)-LEN(SUBSTITUTE(A17,",",""))+1))/ROW(INDIRECT("1:"&amp;LEN(A17)-LEN(SUBSTITUTE(A17,",",""))+1)))&lt;&gt;1))&gt;0,"Invalid","Valid")</f>
        <v>Invalid</v>
      </c>
      <c r="E17" t="str">
        <f>MID(
       B15,
       {1;3;5;8;11;15;18;21;25},
       {2;4;7;10;14;17;20;24;26;#VALUE!;#VALUE!;#VALUE!;#VALUE!;#VALUE!;#VALUE!;#VALUE!;#VALUE!;#VALUE!;#VALUE!;#VALUE!;#VALUE!;#VALUE!;#VALUE!;#VALUE!;#VALUE!;#VALUE!;#VALUE!;#VALUE!;#VALUE!}
       -
       1
      )</f>
        <v>A</v>
      </c>
    </row>
    <row r="18" spans="1:5" x14ac:dyDescent="0.15">
      <c r="A18" t="s">
        <v>44</v>
      </c>
      <c r="B18" t="s">
        <v>40</v>
      </c>
      <c r="C18" t="str">
        <f t="array" aca="1" ref="C18" ca="1">IF(SUMPRODUCT(--(MMULT(--EXACT(MID(","&amp;B18&amp;",",FIND(CHAR(9),SUBSTITUTE(","&amp;B18&amp;",",",",CHAR(9),ROW(INDIRECT("1:"&amp;LEN(B18)-LEN(SUBSTITUTE(B18,",",""))+1))))+1,FIND(CHAR(9),SUBSTITUTE(","&amp;B18&amp;",",",",CHAR(9),ROW(INDIRECT("2:"&amp;LEN(B18)-LEN(SUBSTITUTE(B18,",",""))+2))))-FIND(CHAR(9),SUBSTITUTE(","&amp;B18&amp;",",",",CHAR(9),ROW(INDIRECT("1:"&amp;LEN(B18)-LEN(SUBSTITUTE(B18,",",""))+1))))-1),MID(","&amp;A18&amp;",",FIND(CHAR(9),SUBSTITUTE(","&amp;A18&amp;",",",",CHAR(9),TRANSPOSE(ROW(INDIRECT("1:"&amp;LEN(A18)-LEN(SUBSTITUTE(A18,",",""))+1)))))+1,FIND(CHAR(9),SUBSTITUTE(","&amp;A18&amp;",",",",CHAR(9),TRANSPOSE(ROW(INDIRECT("2:"&amp;LEN(A18)-LEN(SUBSTITUTE(A18,",",""))+2)))))-FIND(CHAR(9),SUBSTITUTE(","&amp;A18&amp;",",",",CHAR(9),TRANSPOSE(ROW(INDIRECT("1:"&amp;LEN(A18)-LEN(SUBSTITUTE(A18,",",""))+1)))))-1)),ROW(INDIRECT("1:"&amp;LEN(A18)-LEN(SUBSTITUTE(A18,",",""))+1))/ROW(INDIRECT("1:"&amp;LEN(A18)-LEN(SUBSTITUTE(A18,",",""))+1)))&lt;&gt;1))&gt;0,"Invalid","Valid")</f>
        <v>Valid</v>
      </c>
      <c r="E18" t="str">
        <f ca="1">MID(
       B15,
       {1;3;5;8;11;15;18;21;25},
       {2;4;7;10;14;17;20;24;26}
       -
       FIND(
        CHAR(9),
        SUBSTITUTE(
         ","&amp;B15,
         ",",
         CHAR(9),
         ROW(
          INDIRECT(
           "1:" &amp; LEN(B15)-LEN(SUBSTITUTE(B15,",",""))
          )
         )
        )
       )
      )</f>
        <v>A</v>
      </c>
    </row>
    <row r="19" spans="1:5" x14ac:dyDescent="0.15">
      <c r="A19" t="s">
        <v>45</v>
      </c>
      <c r="B19" t="s">
        <v>46</v>
      </c>
      <c r="C19" t="str">
        <f t="array" aca="1" ref="C19" ca="1">IF(SUMPRODUCT(--(MMULT(--EXACT(MID(","&amp;B19&amp;",",FIND(CHAR(9),SUBSTITUTE(","&amp;B19&amp;",",",",CHAR(9),ROW(INDIRECT("1:"&amp;LEN(B19)-LEN(SUBSTITUTE(B19,",",""))+1))))+1,FIND(CHAR(9),SUBSTITUTE(","&amp;B19&amp;",",",",CHAR(9),ROW(INDIRECT("2:"&amp;LEN(B19)-LEN(SUBSTITUTE(B19,",",""))+2))))-FIND(CHAR(9),SUBSTITUTE(","&amp;B19&amp;",",",",CHAR(9),ROW(INDIRECT("1:"&amp;LEN(B19)-LEN(SUBSTITUTE(B19,",",""))+1))))-1),MID(","&amp;A19&amp;",",FIND(CHAR(9),SUBSTITUTE(","&amp;A19&amp;",",",",CHAR(9),TRANSPOSE(ROW(INDIRECT("1:"&amp;LEN(A19)-LEN(SUBSTITUTE(A19,",",""))+1)))))+1,FIND(CHAR(9),SUBSTITUTE(","&amp;A19&amp;",",",",CHAR(9),TRANSPOSE(ROW(INDIRECT("2:"&amp;LEN(A19)-LEN(SUBSTITUTE(A19,",",""))+2)))))-FIND(CHAR(9),SUBSTITUTE(","&amp;A19&amp;",",",",CHAR(9),TRANSPOSE(ROW(INDIRECT("1:"&amp;LEN(A19)-LEN(SUBSTITUTE(A19,",",""))+1)))))-1)),ROW(INDIRECT("1:"&amp;LEN(A19)-LEN(SUBSTITUTE(A19,",",""))+1))/ROW(INDIRECT("1:"&amp;LEN(A19)-LEN(SUBSTITUTE(A19,",",""))+1)))&lt;&gt;1))&gt;0,"Invalid","Valid")</f>
        <v>Valid</v>
      </c>
      <c r="E19" t="str">
        <f t="array" aca="1" ref="E19" ca="1">MID(
                         ","&amp;B15&amp;",",
                         FIND(
                             CHAR(9),
                             SUBSTITUTE(
                                 ","&amp;B15&amp;",",
                                 ",",
                                 CHAR(9),
                                 ROW(
                                     INDIRECT(
                                         "1:"&amp;LEN(B15)-LEN(SUBSTITUTE(B15,",",""))+1
                                     )
                                 )
                             )
                         )
                         +
                         1,
                         FIND(
                             CHAR(9),
                             SUBSTITUTE(
                                 ","&amp;B15&amp;",",
                                 ",",
                                 CHAR(9),
                                 ROW(
                                     INDIRECT(
                                         "2:"&amp;LEN(B15)-LEN(SUBSTITUTE(B15,",",""))+2
                                     )
                                 )
                             )
                         )
                         -
                         FIND(
                             CHAR(9),
                             SUBSTITUTE(
                                 ","&amp;B15&amp;",",
                                 ",",
                                 CHAR(9),
                                 ROW(
                                     INDIRECT(
                                         "1:"&amp;LEN(B15)-LEN(SUBSTITUTE(B15,",",""))+1
                                     )
                                 )
                             )
                         )
                         -
                         1
                     )</f>
        <v>A</v>
      </c>
    </row>
    <row r="20" spans="1:5" x14ac:dyDescent="0.15">
      <c r="A20" t="s">
        <v>45</v>
      </c>
      <c r="B20" t="s">
        <v>47</v>
      </c>
      <c r="C20" t="str">
        <f t="array" aca="1" ref="C20" ca="1">IF(SUMPRODUCT(--(MMULT(--EXACT(MID(","&amp;B20&amp;",",FIND(CHAR(9),SUBSTITUTE(","&amp;B20&amp;",",",",CHAR(9),ROW(INDIRECT("1:"&amp;LEN(B20)-LEN(SUBSTITUTE(B20,",",""))+1))))+1,FIND(CHAR(9),SUBSTITUTE(","&amp;B20&amp;",",",",CHAR(9),ROW(INDIRECT("2:"&amp;LEN(B20)-LEN(SUBSTITUTE(B20,",",""))+2))))-FIND(CHAR(9),SUBSTITUTE(","&amp;B20&amp;",",",",CHAR(9),ROW(INDIRECT("1:"&amp;LEN(B20)-LEN(SUBSTITUTE(B20,",",""))+1))))-1),MID(","&amp;A20&amp;",",FIND(CHAR(9),SUBSTITUTE(","&amp;A20&amp;",",",",CHAR(9),TRANSPOSE(ROW(INDIRECT("1:"&amp;LEN(A20)-LEN(SUBSTITUTE(A20,",",""))+1)))))+1,FIND(CHAR(9),SUBSTITUTE(","&amp;A20&amp;",",",",CHAR(9),TRANSPOSE(ROW(INDIRECT("2:"&amp;LEN(A20)-LEN(SUBSTITUTE(A20,",",""))+2)))))-FIND(CHAR(9),SUBSTITUTE(","&amp;A20&amp;",",",",CHAR(9),TRANSPOSE(ROW(INDIRECT("1:"&amp;LEN(A20)-LEN(SUBSTITUTE(A20,",",""))+1)))))-1)),ROW(INDIRECT("1:"&amp;LEN(A20)-LEN(SUBSTITUTE(A20,",",""))+1))/ROW(INDIRECT("1:"&amp;LEN(A20)-LEN(SUBSTITUTE(A20,",",""))+1)))&lt;&gt;1))&gt;0,"Invalid","Valid")</f>
        <v>Invalid</v>
      </c>
      <c r="E20" t="str">
        <f t="array" aca="1" ref="E20" ca="1" xml:space="preserve"> IF(
     (
         ISNA(
             SUM(
                 MATCH(
                     MID(
                         ","&amp;B15&amp;",",
                         FIND(
                             CHAR(9),
                             SUBSTITUTE(
                                 ","&amp;B15&amp;",",
                                 ",",
                                 CHAR(9),
                                 ROW(
                                     INDIRECT(
                                         "1:"&amp;LEN(B15)-LEN(SUBSTITUTE(B15,",",""))+1
                                     )
                                 )
                             )
                         )
                         +
                         1,
                         FIND(
                             CHAR(9),
                             SUBSTITUTE(
                                 ","&amp;B15&amp;",",
                                 ",",
                                 CHAR(9),
                                 ROW(
                                     INDIRECT(
                                         "2:"&amp;LEN(B15)-LEN(SUBSTITUTE(B15,",",""))+2
                                     )
                                 )
                             )
                         )
                         -
                         FIND(
                             CHAR(9),
                             SUBSTITUTE(
                                 ","&amp;B15&amp;",",
                                 ",",
                                 CHAR(9),
                                 ROW(
                                     INDIRECT(
                                         "1:"&amp;LEN(B15)-LEN(SUBSTITUTE(B15,",",""))+1
                                     )
                                 )
                             )
                         )
                         -
                         1
                     ),
                     MID(
                         ","&amp;A15&amp;",",
                         FIND(
                             CHAR(9),
                             SUBSTITUTE(
                                 ","&amp;A15&amp;",",
                                 ",",
                                 CHAR(9),
                                 ROW(
                                     INDIRECT(
                                         "1:"&amp;LEN(A15)-LEN(SUBSTITUTE(A15,",",""))+1
                                     )
                                 )
                             )
                         )
                         +
                         1,
                         FIND(
                             CHAR(9),
                             SUBSTITUTE(
                                 ","&amp;A15&amp;",",
                                 ",",
                                 CHAR(9),
                                 ROW(
                                     INDIRECT(
                                         "2:"&amp;LEN(A15)-LEN(SUBSTITUTE(A15,",",""))+2
                                     )
                                 )
                             )
                         )
                         -
                         FIND(
                             CHAR(9),
                             SUBSTITUTE(
                                 ","&amp;A15&amp;",",
                                 ",",
                                 CHAR(9),
                                 ROW(
                                     INDIRECT(
                                         "1:"&amp;LEN(A15)-LEN(SUBSTITUTE(A15,",",""))+1
                                     )
                                 )
                             )
                         )
                         -
                         1
                     ),
                     0
                 )
             )
         ) +
         ISNA(
             SUM(
                 MATCH(
                     MID(
                         ","&amp;A15&amp;",",
                         FIND(
                             CHAR(9),
                             SUBSTITUTE(
                                 ","&amp;A15&amp;",",
                                 ",",
                                 CHAR(9),
                                 ROW(
                                     INDIRECT(
                                         "1:"&amp;LEN(A15)-LEN(SUBSTITUTE(A15,",",""))+1
                                     )
                                 )
                             )
                         )
                         +
                         1,
                         FIND(
                             CHAR(9),
                             SUBSTITUTE(
                                 ","&amp;A15&amp;",",
                                 ",",
                                 CHAR(9),
                                 ROW(
                                     INDIRECT(
                                         "2:"&amp;LEN(A15)-LEN(SUBSTITUTE(A15,",",""))+2
                                     )
                                 )
                             )
                         )
                         -
                         FIND(
                             CHAR(9),
                             SUBSTITUTE(
                                 ","&amp;A15&amp;",",
                                 ",",
                                 CHAR(9),
                                 ROW(
                                     INDIRECT(
                                         "1:"&amp;LEN(A15)-LEN(SUBSTITUTE(A15,",",""))+1
                                     )
                                 )
                             )
                         )
                         -
                         1
                     ),
                     MID(
                         ","&amp;B15&amp;",",
                         FIND(
                             CHAR(9),
                             SUBSTITUTE(
                                 ","&amp;B15&amp;",",
                                 ",",
                                 CHAR(9),
                                 ROW(
                                     INDIRECT(
                                         "1:"&amp;LEN(B15)-LEN(SUBSTITUTE(B15,",",""))+1
                                     )
                                 )
                             )
                         )
                         +
                         1,
                         FIND(
                             CHAR(9),
                             SUBSTITUTE(
                                 ","&amp;B15&amp;",",
                                 ",",
                                 CHAR(9),
                                 ROW(
                                     INDIRECT(
                                         "2:"&amp;LEN(B15)-LEN(SUBSTITUTE(B15,",",""))+2
                                     )
                                 )
                             )
                         )
                         -
                         FIND(
                             CHAR(9),
                             SUBSTITUTE(
                                 ","&amp;B15&amp;",",
                                 ",",
                                 CHAR(9),
                                 ROW(
                                     INDIRECT(
                                         "1:"&amp;LEN(B15)-LEN(SUBSTITUTE(B15,",",""))+1
                                     )
                                 )
                             )
                         )
                         -
                         1
                     ),
                     0
                 )
             )
         )
     ) &gt; 1,
     "No Match",
     "Match"
 )</f>
        <v>Match</v>
      </c>
    </row>
    <row r="21" spans="1:5" x14ac:dyDescent="0.15">
      <c r="A21" t="s">
        <v>45</v>
      </c>
      <c r="B21" t="s">
        <v>48</v>
      </c>
      <c r="C21" t="str">
        <f t="array" aca="1" ref="C21" ca="1">IF(SUMPRODUCT(--(MMULT(--EXACT(MID(","&amp;B21&amp;",",FIND(CHAR(9),SUBSTITUTE(","&amp;B21&amp;",",",",CHAR(9),ROW(INDIRECT("1:"&amp;LEN(B21)-LEN(SUBSTITUTE(B21,",",""))+1))))+1,FIND(CHAR(9),SUBSTITUTE(","&amp;B21&amp;",",",",CHAR(9),ROW(INDIRECT("2:"&amp;LEN(B21)-LEN(SUBSTITUTE(B21,",",""))+2))))-FIND(CHAR(9),SUBSTITUTE(","&amp;B21&amp;",",",",CHAR(9),ROW(INDIRECT("1:"&amp;LEN(B21)-LEN(SUBSTITUTE(B21,",",""))+1))))-1),MID(","&amp;A21&amp;",",FIND(CHAR(9),SUBSTITUTE(","&amp;A21&amp;",",",",CHAR(9),TRANSPOSE(ROW(INDIRECT("1:"&amp;LEN(A21)-LEN(SUBSTITUTE(A21,",",""))+1)))))+1,FIND(CHAR(9),SUBSTITUTE(","&amp;A21&amp;",",",",CHAR(9),TRANSPOSE(ROW(INDIRECT("2:"&amp;LEN(A21)-LEN(SUBSTITUTE(A21,",",""))+2)))))-FIND(CHAR(9),SUBSTITUTE(","&amp;A21&amp;",",",",CHAR(9),TRANSPOSE(ROW(INDIRECT("1:"&amp;LEN(A21)-LEN(SUBSTITUTE(A21,",",""))+1)))))-1)),ROW(INDIRECT("1:"&amp;LEN(A21)-LEN(SUBSTITUTE(A21,",",""))+1))/ROW(INDIRECT("1:"&amp;LEN(A21)-LEN(SUBSTITUTE(A21,",",""))+1)))&lt;&gt;1))&gt;0,"Invalid","Valid")</f>
        <v>Invalid</v>
      </c>
      <c r="E21">
        <f>{1;13;15;1;1;12}</f>
        <v>1</v>
      </c>
    </row>
    <row r="22" spans="1:5" x14ac:dyDescent="0.15">
      <c r="A22" t="s">
        <v>45</v>
      </c>
      <c r="B22" t="s">
        <v>49</v>
      </c>
      <c r="C22" t="str">
        <f t="array" aca="1" ref="C22" ca="1">IF(SUMPRODUCT(--(MMULT(--EXACT(MID(","&amp;B22&amp;",",FIND(CHAR(9),SUBSTITUTE(","&amp;B22&amp;",",",",CHAR(9),ROW(INDIRECT("1:"&amp;LEN(B22)-LEN(SUBSTITUTE(B22,",",""))+1))))+1,FIND(CHAR(9),SUBSTITUTE(","&amp;B22&amp;",",",",CHAR(9),ROW(INDIRECT("2:"&amp;LEN(B22)-LEN(SUBSTITUTE(B22,",",""))+2))))-FIND(CHAR(9),SUBSTITUTE(","&amp;B22&amp;",",",",CHAR(9),ROW(INDIRECT("1:"&amp;LEN(B22)-LEN(SUBSTITUTE(B22,",",""))+1))))-1),MID(","&amp;A22&amp;",",FIND(CHAR(9),SUBSTITUTE(","&amp;A22&amp;",",",",CHAR(9),TRANSPOSE(ROW(INDIRECT("1:"&amp;LEN(A22)-LEN(SUBSTITUTE(A22,",",""))+1)))))+1,FIND(CHAR(9),SUBSTITUTE(","&amp;A22&amp;",",",",CHAR(9),TRANSPOSE(ROW(INDIRECT("2:"&amp;LEN(A22)-LEN(SUBSTITUTE(A22,",",""))+2)))))-FIND(CHAR(9),SUBSTITUTE(","&amp;A22&amp;",",",",CHAR(9),TRANSPOSE(ROW(INDIRECT("1:"&amp;LEN(A22)-LEN(SUBSTITUTE(A22,",",""))+1)))))-1)),ROW(INDIRECT("1:"&amp;LEN(A22)-LEN(SUBSTITUTE(A22,",",""))+1))/ROW(INDIRECT("1:"&amp;LEN(A22)-LEN(SUBSTITUTE(A22,",",""))+1)))&lt;&gt;1))&gt;0,"Invalid","Valid")</f>
        <v>Valid</v>
      </c>
      <c r="E22" t="str">
        <f t="array" ref="E22">IF(
    ISNA(
        SUM(
            MATCH(
                1,
                --EXACT(
                 {"A";"C";"D ";"AB";"AAA"},
                 {"A";"B";"C";"D";"AA";"A";"AB";"AC";"AD";"ABC";"ABD";"ABCD";"BBB";"CC";"D";"DD";"AABCCDD";"AAAA"}
             ),
                0
            )
        )
    ),
    "Invalid",
    "Valid"
)</f>
        <v>Valid</v>
      </c>
    </row>
    <row r="23" spans="1:5" x14ac:dyDescent="0.15">
      <c r="A23" t="s">
        <v>45</v>
      </c>
      <c r="B23" t="s">
        <v>51</v>
      </c>
      <c r="C23" t="str">
        <f t="array" aca="1" ref="C23" ca="1">IF(SUMPRODUCT(--(MMULT(--EXACT(MID(","&amp;B23&amp;",",FIND(CHAR(9),SUBSTITUTE(","&amp;B23&amp;",",",",CHAR(9),ROW(INDIRECT("1:"&amp;LEN(B23)-LEN(SUBSTITUTE(B23,",",""))+1))))+1,FIND(CHAR(9),SUBSTITUTE(","&amp;B23&amp;",",",",CHAR(9),ROW(INDIRECT("2:"&amp;LEN(B23)-LEN(SUBSTITUTE(B23,",",""))+2))))-FIND(CHAR(9),SUBSTITUTE(","&amp;B23&amp;",",",",CHAR(9),ROW(INDIRECT("1:"&amp;LEN(B23)-LEN(SUBSTITUTE(B23,",",""))+1))))-1),MID(","&amp;A23&amp;",",FIND(CHAR(9),SUBSTITUTE(","&amp;A23&amp;",",",",CHAR(9),TRANSPOSE(ROW(INDIRECT("1:"&amp;LEN(A23)-LEN(SUBSTITUTE(A23,",",""))+1)))))+1,FIND(CHAR(9),SUBSTITUTE(","&amp;A23&amp;",",",",CHAR(9),TRANSPOSE(ROW(INDIRECT("2:"&amp;LEN(A23)-LEN(SUBSTITUTE(A23,",",""))+2)))))-FIND(CHAR(9),SUBSTITUTE(","&amp;A23&amp;",",",",CHAR(9),TRANSPOSE(ROW(INDIRECT("1:"&amp;LEN(A23)-LEN(SUBSTITUTE(A23,",",""))+1)))))-1)),ROW(INDIRECT("1:"&amp;LEN(A23)-LEN(SUBSTITUTE(A23,",",""))+1))/ROW(INDIRECT("1:"&amp;LEN(A23)-LEN(SUBSTITUTE(A23,",",""))+1)))&lt;&gt;1))&gt;0,"Invalid","Valid")</f>
        <v>Invalid</v>
      </c>
      <c r="E23" t="b">
        <f t="array" ref="E23">EXACT({"A","B","C ","d"},{"A";"B";"C";"D";"E"})</f>
        <v>1</v>
      </c>
    </row>
    <row r="24" spans="1:5" x14ac:dyDescent="0.15">
      <c r="A24" t="s">
        <v>41</v>
      </c>
      <c r="B24" t="s">
        <v>42</v>
      </c>
      <c r="C24" t="str">
        <f t="array" aca="1" ref="C24" ca="1">IF(SUMPRODUCT(--(MMULT(--EXACT(MID(","&amp;B24&amp;",",FIND(CHAR(9),SUBSTITUTE(","&amp;B24&amp;",",",",CHAR(9),ROW(INDIRECT("1:"&amp;LEN(B24)-LEN(SUBSTITUTE(B24,",",""))+1))))+1,FIND(CHAR(9),SUBSTITUTE(","&amp;B24&amp;",",",",CHAR(9),ROW(INDIRECT("2:"&amp;LEN(B24)-LEN(SUBSTITUTE(B24,",",""))+2))))-FIND(CHAR(9),SUBSTITUTE(","&amp;B24&amp;",",",",CHAR(9),ROW(INDIRECT("1:"&amp;LEN(B24)-LEN(SUBSTITUTE(B24,",",""))+1))))-1),MID(","&amp;A24&amp;",",FIND(CHAR(9),SUBSTITUTE(","&amp;A24&amp;",",",",CHAR(9),TRANSPOSE(ROW(INDIRECT("1:"&amp;LEN(A24)-LEN(SUBSTITUTE(A24,",",""))+1)))))+1,FIND(CHAR(9),SUBSTITUTE(","&amp;A24&amp;",",",",CHAR(9),TRANSPOSE(ROW(INDIRECT("2:"&amp;LEN(A24)-LEN(SUBSTITUTE(A24,",",""))+2)))))-FIND(CHAR(9),SUBSTITUTE(","&amp;A24&amp;",",",",CHAR(9),TRANSPOSE(ROW(INDIRECT("1:"&amp;LEN(A24)-LEN(SUBSTITUTE(A24,",",""))+1)))))-1)),ROW(INDIRECT("1:"&amp;LEN(A24)-LEN(SUBSTITUTE(A24,",",""))+1))/ROW(INDIRECT("1:"&amp;LEN(A24)-LEN(SUBSTITUTE(A24,",",""))+1)))&lt;&gt;1))&gt;0,"Invalid","Valid")</f>
        <v>Valid</v>
      </c>
      <c r="E24" t="str">
        <f t="array" aca="1" ref="E24" ca="1">MID(
    ","&amp;B15&amp;",",
    FIND(
        CHAR(9),
        SUBSTITUTE(
            ","&amp;B15&amp;",",
            ",",
            CHAR(9),
            ROW(
                INDIRECT(
                    "1:"&amp;LEN(B15)-LEN(SUBSTITUTE(B15,",",""))+1
                )
            )
        )
    )
    +
    1,
    FIND(
        CHAR(9),
        SUBSTITUTE(
            ","&amp;B15&amp;",",
            ",",
            CHAR(9),
            ROW(
                INDIRECT(
                    "2:"&amp;LEN(B15)-LEN(SUBSTITUTE(B15,",",""))+2
                )
            )
        )
    )
    -
    FIND(
        CHAR(9),
        SUBSTITUTE(
            ","&amp;B15&amp;",",
            ",",
            CHAR(9),
            ROW(
                INDIRECT(
                    "1:"&amp;LEN(B15)-LEN(SUBSTITUTE(B15,",",""))+1
                )
            )
        )
    )
    -
    1
)</f>
        <v>A</v>
      </c>
    </row>
    <row r="25" spans="1:5" x14ac:dyDescent="0.15">
      <c r="A25">
        <v>1</v>
      </c>
      <c r="B25">
        <v>2</v>
      </c>
      <c r="C25">
        <v>3</v>
      </c>
      <c r="E25">
        <f t="array" aca="1" ref="E25" ca="1">TRANSPOSE(ROW(INDIRECT("1:10")))</f>
        <v>1</v>
      </c>
    </row>
    <row r="26" spans="1:5" x14ac:dyDescent="0.15">
      <c r="A26">
        <v>4</v>
      </c>
      <c r="B26">
        <v>5</v>
      </c>
      <c r="C26">
        <v>6</v>
      </c>
      <c r="E26" t="str">
        <f>{"A","C","D ","AB","AAA"}</f>
        <v>A</v>
      </c>
    </row>
    <row r="27" spans="1:5" x14ac:dyDescent="0.15">
      <c r="A27">
        <v>7</v>
      </c>
      <c r="B27">
        <v>8</v>
      </c>
      <c r="C27">
        <v>9</v>
      </c>
      <c r="E27">
        <f t="array" ref="E27">SUM(--EXACT(
                 {"A","C","D ","AB","AAA"},
                 {"A";"B";"C";"D";"AA";"A";"AB";"AC";"AD";"ABC";"ABD";"ABCD";"BBB";"CC";"D";"DD";"AABCCDD";"AAAA"}
             ))</f>
        <v>4</v>
      </c>
    </row>
    <row r="28" spans="1:5" x14ac:dyDescent="0.15">
      <c r="E28">
        <f t="array" ref="E28">MATCH(
                 {"A","C","D ","AB","AAA"},
                 {"A";"B";"C";"D";"AA";"A";"AB";"AC";"AD";"ABC";"ABD";"ABCD";"BBB";"CC";"D";"DD";"AABCCDD";"AAAA"},0)</f>
        <v>1</v>
      </c>
    </row>
    <row r="29" spans="1:5" x14ac:dyDescent="0.15">
      <c r="E29">
        <f>SUMPRODUCT({1,2;3,4;5,6})</f>
        <v>21</v>
      </c>
    </row>
    <row r="30" spans="1:5" x14ac:dyDescent="0.15">
      <c r="E30">
        <f>VLOOKUP({0,0,1},{0,0,1;1,0,0;0,0,1;1,0,0},{1,2,3},FALSE)</f>
        <v>0</v>
      </c>
    </row>
    <row r="31" spans="1:5" x14ac:dyDescent="0.15">
      <c r="E31" t="b">
        <f t="array" ref="E31">{TRUE,FALSE,FALSE,FALSE,FALSE,TRUE,FALSE,FALSE,FALSE,FALSE,FALSE,FALSE,FALSE,FALSE,FALSE,FALSE,FALSE,FALSE;FALSE,FALSE,TRUE,FALSE,FALSE,FALSE,FALSE,FALSE,FALSE,FALSE,FALSE,FALSE,FALSE,FALSE,FALSE,FALSE,FALSE,FALSE;FALSE,FALSE,FALSE,FALSE,FALSE,FALSE,FALSE,FALSE,FALSE,FALSE,FALSE,FALSE,FALSE,FALSE,FALSE,FALSE,FALSE,FALSE;FALSE,FALSE,FALSE,FALSE,FALSE,FALSE,TRUE,FALSE,FALSE,FALSE,FALSE,FALSE,FALSE,FALSE,FALSE,FALSE,FALSE,FALSE;FALSE,FALSE,FALSE,FALSE,FALSE,FALSE,FALSE,FALSE,FALSE,FALSE,FALSE,FALSE,FALSE,FALSE,FALSE,FALSE,FALSE,FALSE}</f>
        <v>1</v>
      </c>
    </row>
    <row r="32" spans="1:5" x14ac:dyDescent="0.15">
      <c r="E32">
        <f ca="1">TRANSPOSE(
                              ROW(
                                  INDIRECT(
                                      "1:2"
                                  )
                              )
                             )</f>
        <v>1</v>
      </c>
    </row>
    <row r="33" spans="5:5" x14ac:dyDescent="0.15">
      <c r="E33">
        <f ca="1">SUM(E32)</f>
        <v>1</v>
      </c>
    </row>
    <row r="34" spans="5:5" x14ac:dyDescent="0.15">
      <c r="E34" t="s">
        <v>36</v>
      </c>
    </row>
    <row r="35" spans="5:5" x14ac:dyDescent="0.15">
      <c r="E35" t="e">
        <f ca="1">OFFSET(A25:C27,{1,2,3},,1,3)</f>
        <v>#VALUE!</v>
      </c>
    </row>
    <row r="36" spans="5:5" x14ac:dyDescent="0.15">
      <c r="E36">
        <f>SUMPRODUCT(--(MOD(A25:C27,2)=1),A25:C27)</f>
        <v>25</v>
      </c>
    </row>
    <row r="37" spans="5:5" x14ac:dyDescent="0.15">
      <c r="E37" t="e">
        <f>SUMPRODUCT(--(MOD(ROW(A25:C27),2)=1),A25:C27)</f>
        <v>#VALUE!</v>
      </c>
    </row>
    <row r="38" spans="5:5" x14ac:dyDescent="0.15">
      <c r="E38">
        <f t="array" aca="1" ref="E38" ca="1">OFFSET(A25:C27,ROW(A25:C27)-MIN(ROW(A25:C27)),0,1)</f>
        <v>1</v>
      </c>
    </row>
    <row r="39" spans="5:5" x14ac:dyDescent="0.15">
      <c r="E39">
        <f t="array" aca="1" ref="E39" ca="1">SUBTOTAL(9,OFFSET(A25:C27,ROW(A25:C27)-MIN(ROW(A25:C27)),0,1))</f>
        <v>6</v>
      </c>
    </row>
    <row r="40" spans="5:5" x14ac:dyDescent="0.15">
      <c r="E40">
        <f ca="1">SUMPRODUCT(--(SUBTOTAL(9,OFFSET(A25:C27,{0;1;2},0,1))&gt;7),SUBTOTAL(9,OFFSET(A25:C27,ROW(A25:C27)-MIN(ROW(A25:C27)),0,1)))</f>
        <v>39</v>
      </c>
    </row>
    <row r="41" spans="5:5" x14ac:dyDescent="0.15">
      <c r="E41" t="s">
        <v>37</v>
      </c>
    </row>
    <row r="42" spans="5:5" x14ac:dyDescent="0.15">
      <c r="E42" t="s">
        <v>38</v>
      </c>
    </row>
    <row r="43" spans="5:5" x14ac:dyDescent="0.15">
      <c r="E43">
        <f ca="1">ROW(
                                        INDIRECT(
                                            "1:"&amp;LEN(B15)-LEN(SUBSTITUTE(B15,",",""))+1
                                        )
                                    )</f>
        <v>1</v>
      </c>
    </row>
    <row r="44" spans="5:5" ht="189" x14ac:dyDescent="0.15">
      <c r="E44" s="3" t="s">
        <v>39</v>
      </c>
    </row>
    <row r="45" spans="5:5" x14ac:dyDescent="0.15">
      <c r="E45" t="e">
        <f t="array" ref="E45">SUBTOTAL(9,INDEX({1,0,0,0,0,1,0,0,0,0,0,0,0,0,0,0,0,0;0,0,1,0,0,0,0,0,0,0,0,0,0,0,0,0,0,0;0,0,0,1,0,0,0,0,0,0,0,0,0,0,1,0,0,0;0,0,0,0,0,0,1,0,0,0,0,0,0,0,0,0,0,0;0,0,0,0,0,0,0,0,0,0,0,0,0,0,0,0,0,1;0,0,0,0,0,0,0,0,0,0,0,0,0,0,0,0,0,0},{1;2;3;4;5;6}))</f>
        <v>#VALUE!</v>
      </c>
    </row>
    <row r="46" spans="5:5" x14ac:dyDescent="0.15">
      <c r="E46" t="e">
        <f ca="1">SUBTOTAL(9,INDEX(--EXACT(MID(","&amp;B15&amp;",",FIND(CHAR(9),SUBSTITUTE(","&amp;B15&amp;",",",",CHAR(9),ROW(INDIRECT("1:"&amp;LEN(B15)-LEN(SUBSTITUTE(B15,",",""))+1))))+1,FIND(CHAR(9),SUBSTITUTE(","&amp;B15&amp;",",",",CHAR(9),ROW(INDIRECT("2:"&amp;LEN(B15)-LEN(SUBSTITUTE(B15,",",""))+2))))-FIND(CHAR(9),SUBSTITUTE(","&amp;B15&amp;",",",",CHAR(9),ROW(INDIRECT("1:"&amp;LEN(B15)-LEN(SUBSTITUTE(B15,",",""))+1))))-1),MID(","&amp;A15&amp;",",FIND(CHAR(9),SUBSTITUTE(","&amp;A15&amp;",",",",CHAR(9),TRANSPOSE(ROW(INDIRECT("1:"&amp;LEN(A15)-LEN(SUBSTITUTE(A15,",",""))+1)))))+1,FIND(CHAR(9),SUBSTITUTE(","&amp;A15&amp;",",",",CHAR(9),TRANSPOSE(ROW(INDIRECT("2:"&amp;LEN(A15)-LEN(SUBSTITUTE(A15,",",""))+2)))))-FIND(CHAR(9),SUBSTITUTE(","&amp;A15&amp;",",",",CHAR(9),TRANSPOSE(ROW(INDIRECT("1:"&amp;LEN(A15)-LEN(SUBSTITUTE(A15,",",""))+1)))))-1)),ROW(INDIRECT("1:"&amp;LEN(B15)-LEN(SUBSTITUTE(B15,",",""))+1))-1))</f>
        <v>#VALUE!</v>
      </c>
    </row>
    <row r="47" spans="5:5" x14ac:dyDescent="0.15">
      <c r="E47">
        <f>SUM(A2:INDEX(A:A,ROW()-1))</f>
        <v>12</v>
      </c>
    </row>
    <row r="48" spans="5:5" x14ac:dyDescent="0.15">
      <c r="E48">
        <f ca="1">SUBTOTAL(9,A2:OFFSET(A300,-1,0))</f>
        <v>12</v>
      </c>
    </row>
    <row r="49" spans="5:5" x14ac:dyDescent="0.15">
      <c r="E49">
        <f>SUBTOTAL(9,A1:INDEX(A:A,ROW()-1))</f>
        <v>12</v>
      </c>
    </row>
    <row r="50" spans="5:5" x14ac:dyDescent="0.15">
      <c r="E50" t="e">
        <f>SUMPRODUCT(--(SUBTOTAL(9,INDEX({1,2,3;4,5,6;7,8,9},ROWS({1,2,3;4,5,6;7,8,9})))&gt;7),SUBTOTAL(9,INDEX({1,2,3;4,5,6;7,8,9},{1;2;3})))</f>
        <v>#VALUE!</v>
      </c>
    </row>
    <row r="51" spans="5:5" x14ac:dyDescent="0.15">
      <c r="E51" t="str">
        <f t="array" aca="1" ref="E51" ca="1">IF(ISERROR(INDEX(A1:A19,{1;2;3;4;5;6;7;8;15;16;17;#NUM!;#NUM!;#NUM!;#NUM!;#NUM!;#NUM!;#NUM!;#NUM!})),"",INDEX(A1:A19,SMALL(IF(C1:C19&gt;0,ROW(INDIRECT("1:"&amp;ROWS(C1:C19)))),ROW(INDIRECT("1:"&amp;ROWS(C1:C19))))))</f>
        <v>ACDB</v>
      </c>
    </row>
    <row r="52" spans="5:5" x14ac:dyDescent="0.15">
      <c r="E52" t="e">
        <f t="array" aca="1" ref="E52" ca="1">SUMPRODUCT(--(SUBTOTAL(9,INDEX(--EXACT(MID(","&amp;B15&amp;",",FIND(CHAR(9),SUBSTITUTE(","&amp;B15&amp;",",",",CHAR(9),ROW(INDIRECT("1:"&amp;LEN(B15)-LEN(SUBSTITUTE(B15,",",""))+1))))+1,FIND(CHAR(9),SUBSTITUTE(","&amp;B15&amp;",",",",CHAR(9),ROW(INDIRECT("2:"&amp;LEN(B15)-LEN(SUBSTITUTE(B15,",",""))+2))))-FIND(CHAR(9),SUBSTITUTE(","&amp;B15&amp;",",",",CHAR(9),ROW(INDIRECT("1:"&amp;LEN(B15)-LEN(SUBSTITUTE(B15,",",""))+1))))-1),MID(","&amp;A15&amp;",",FIND(CHAR(9),SUBSTITUTE(","&amp;A15&amp;",",",",CHAR(9),TRANSPOSE(ROW(INDIRECT("1:"&amp;LEN(A15)-LEN(SUBSTITUTE(A15,",",""))+1)))))+1,FIND(CHAR(9),SUBSTITUTE(","&amp;A15&amp;",",",",CHAR(9),TRANSPOSE(ROW(INDIRECT("2:"&amp;LEN(A15)-LEN(SUBSTITUTE(A15,",",""))+2)))))-FIND(CHAR(9),SUBSTITUTE(","&amp;A15&amp;",",",",CHAR(9),TRANSPOSE(ROW(INDIRECT("1:"&amp;LEN(A15)-LEN(SUBSTITUTE(A15,",",""))+1)))))-1)),ROW(INDIRECT("1:"&amp;LEN(B15)-LEN(SUBSTITUTE(B15,",",""))+1))-1))&lt;&gt;1),SUBTOTAL(9,INDEX(--EXACT(MID(","&amp;B15&amp;",",FIND(CHAR(9),SUBSTITUTE(","&amp;B15&amp;",",",",CHAR(9),ROW(INDIRECT("1:"&amp;LEN(B15)-LEN(SUBSTITUTE(B15,",",""))+1))))+1,FIND(CHAR(9),SUBSTITUTE(","&amp;B15&amp;",",",",CHAR(9),ROW(INDIRECT("2:"&amp;LEN(B15)-LEN(SUBSTITUTE(B15,",",""))+2))))-FIND(CHAR(9),SUBSTITUTE(","&amp;B15&amp;",",",",CHAR(9),ROW(INDIRECT("1:"&amp;LEN(B15)-LEN(SUBSTITUTE(B15,",",""))+1))))-1),MID(","&amp;A15&amp;",",FIND(CHAR(9),SUBSTITUTE(","&amp;A15&amp;",",",",CHAR(9),TRANSPOSE(ROW(INDIRECT("1:"&amp;LEN(A15)-LEN(SUBSTITUTE(A15,",",""))+1)))))+1,FIND(CHAR(9),SUBSTITUTE(","&amp;A15&amp;",",",",CHAR(9),TRANSPOSE(ROW(INDIRECT("2:"&amp;LEN(A15)-LEN(SUBSTITUTE(A15,",",""))+2)))))-FIND(CHAR(9),SUBSTITUTE(","&amp;A15&amp;",",",",CHAR(9),TRANSPOSE(ROW(INDIRECT("1:"&amp;LEN(A15)-LEN(SUBSTITUTE(A15,",",""))+1)))))-1)),ROW(INDIRECT("1:"&amp;LEN(B15)-LEN(SUBSTITUTE(B15,",",""))+1))-1)))</f>
        <v>#VALUE!</v>
      </c>
    </row>
    <row r="53" spans="5:5" x14ac:dyDescent="0.15">
      <c r="E53">
        <f>SUM(VLOOKUP({1;0},{1,0,0;0,1,1;0,0,0;0,1,0},{1,2,3},FALSE))</f>
        <v>1</v>
      </c>
    </row>
    <row r="54" spans="5:5" x14ac:dyDescent="0.15">
      <c r="E54" t="e">
        <f t="array" aca="1" ref="E54" ca="1">SUMPRODUCT(--(SUBTOTAL(9,INDEX(--EXACT(MID(","&amp;B15&amp;",",FIND(CHAR(9),SUBSTITUTE(","&amp;B15&amp;",",",",CHAR(9),ROW(INDIRECT("1:"&amp;LEN(B15)-LEN(SUBSTITUTE(B15,",",""))+1))))+1,FIND(CHAR(9),SUBSTITUTE(","&amp;B15&amp;",",",",CHAR(9),ROW(INDIRECT("2:"&amp;LEN(B15)-LEN(SUBSTITUTE(B15,",",""))+2))))-FIND(CHAR(9),SUBSTITUTE(","&amp;B15&amp;",",",",CHAR(9),ROW(INDIRECT("1:"&amp;LEN(B15)-LEN(SUBSTITUTE(B15,",",""))+1))))-1),MID(","&amp;A15&amp;",",FIND(CHAR(9),SUBSTITUTE(","&amp;A15&amp;",",",",CHAR(9),TRANSPOSE(ROW(INDIRECT("1:"&amp;LEN(A15)-LEN(SUBSTITUTE(A15,",",""))+1)))))+1,FIND(CHAR(9),SUBSTITUTE(","&amp;A15&amp;",",",",CHAR(9),TRANSPOSE(ROW(INDIRECT("2:"&amp;LEN(A15)-LEN(SUBSTITUTE(A15,",",""))+2)))))-FIND(CHAR(9),SUBSTITUTE(","&amp;A15&amp;",",",",CHAR(9),TRANSPOSE(ROW(INDIRECT("1:"&amp;LEN(A15)-LEN(SUBSTITUTE(A15,",",""))+1)))))-1)),ROW(INDIRECT("1:"&amp;LEN(B15)-LEN(SUBSTITUTE(B15,",",""))+1))-1))&lt;&gt;1))</f>
        <v>#VALUE!</v>
      </c>
    </row>
    <row r="55" spans="5:5" x14ac:dyDescent="0.15">
      <c r="E55">
        <f>SUMPRODUCT(--(MMULT(--({1,0,0;0,1,1;0,0,0;0,1,0}),ROW($1:$3)/ROW($1:$3))&gt;1))</f>
        <v>1</v>
      </c>
    </row>
    <row r="56" spans="5:5" x14ac:dyDescent="0.15">
      <c r="E56">
        <f t="array" aca="1" ref="E56" ca="1">SUMPRODUCT(--(MMULT(--EXACT(MID(","&amp;B15&amp;",",FIND(CHAR(9),SUBSTITUTE(","&amp;B15&amp;",",",",CHAR(9),ROW(INDIRECT("1:"&amp;LEN(B15)-LEN(SUBSTITUTE(B15,",",""))+1))))+1,FIND(CHAR(9),SUBSTITUTE(","&amp;B15&amp;",",",",CHAR(9),ROW(INDIRECT("2:"&amp;LEN(B15)-LEN(SUBSTITUTE(B15,",",""))+2))))-FIND(CHAR(9),SUBSTITUTE(","&amp;B15&amp;",",",",CHAR(9),ROW(INDIRECT("1:"&amp;LEN(B15)-LEN(SUBSTITUTE(B15,",",""))+1))))-1),MID(","&amp;A15&amp;",",FIND(CHAR(9),SUBSTITUTE(","&amp;A15&amp;",",",",CHAR(9),TRANSPOSE(ROW(INDIRECT("1:"&amp;LEN(A15)-LEN(SUBSTITUTE(A15,",",""))+1)))))+1,FIND(CHAR(9),SUBSTITUTE(","&amp;A15&amp;",",",",CHAR(9),TRANSPOSE(ROW(INDIRECT("2:"&amp;LEN(A15)-LEN(SUBSTITUTE(A15,",",""))+2)))))-FIND(CHAR(9),SUBSTITUTE(","&amp;A15&amp;",",",",CHAR(9),TRANSPOSE(ROW(INDIRECT("1:"&amp;LEN(A15)-LEN(SUBSTITUTE(A15,",",""))+1)))))-1)),ROW(INDIRECT("1:"&amp;LEN(A15)-LEN(SUBSTITUTE(A15,",",""))+1))/ROW(INDIRECT("1:"&amp;LEN(A15)-LEN(SUBSTITUTE(A15,",",""))+1)))&gt;1))</f>
        <v>0</v>
      </c>
    </row>
    <row r="57" spans="5:5" x14ac:dyDescent="0.15">
      <c r="E57">
        <f t="array" ref="E57">SUMPRODUCT(
    --(
        MMULT(
            --EXACT(
                {"A";"C";"D ";"AB";"AAAA";"a";"A"},
                {"A","B","C","D","AA","AB","AC","AD","ABC","ABD","ABCD","BBB","CC","DD","AABCCDD","AAAA"}
            ),
            {1;1;1;1;1;1;1;1;1;1;1;1;1;1;1;1}
        )
        &lt;&gt;
        1
    )
)
+
SUMPRODUCT(
    --(
        MMULT(
            TRANSPOSE(
                --EXACT(
                    {"A";"C";"D ";"AB";"AAAA";"a";"A"},
                    {"A","B","C","D","AA","AB","AC","AD","ABC","ABD","ABCD","BBB","CC","DD","AABCCDD","AAAA"}
                )
            ),
            {1;1;1;1;1;1;1}
        )
        &gt;
        1
    )
)</f>
        <v>3</v>
      </c>
    </row>
  </sheetData>
  <phoneticPr fontId="2" type="noConversion"/>
  <dataValidations count="1">
    <dataValidation type="custom" allowBlank="1" showErrorMessage="1" sqref="C1:C8">
      <formula1>TRIM(MID(SUBSTITUTE($B$1,",",REPT(" ",LEN($B$1))),((ROWS($B$1:$B1048576)-1)*LEN($B$1))+1,LEN($B$1)))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8"/>
  <sheetViews>
    <sheetView tabSelected="1" topLeftCell="B45" workbookViewId="0">
      <selection activeCell="E54" sqref="E54"/>
    </sheetView>
  </sheetViews>
  <sheetFormatPr defaultRowHeight="13.5" x14ac:dyDescent="0.15"/>
  <cols>
    <col min="1" max="1" width="61.625" customWidth="1"/>
    <col min="2" max="2" width="75.625" customWidth="1"/>
    <col min="3" max="3" width="12.875" customWidth="1"/>
    <col min="4" max="4" width="2" customWidth="1"/>
    <col min="5" max="5" width="31.75" customWidth="1"/>
  </cols>
  <sheetData>
    <row r="1" spans="1:5" x14ac:dyDescent="0.15">
      <c r="A1" t="s">
        <v>23</v>
      </c>
      <c r="B1" t="s">
        <v>7</v>
      </c>
      <c r="C1" t="str">
        <f t="array" aca="1" ref="C1" ca="1">IF((ISNA(SUM(MATCH(MID(B1,ROW(INDIRECT("1:"&amp;LEN(B1))),1),MID(A1,ROW(INDIRECT("1:"&amp;LEN(A1))),1),0)))+ISNA(SUM(MATCH(MID(A1,ROW(INDIRECT("1:"&amp;LEN(A1))),1),MID(B1,ROW(INDIRECT("1:"&amp;LEN(B1))),1),0))))&gt;1,"No Match","Match")</f>
        <v>Match</v>
      </c>
      <c r="E1">
        <f>SUM(
     {1;2}
    )</f>
        <v>3</v>
      </c>
    </row>
    <row r="2" spans="1:5" x14ac:dyDescent="0.15">
      <c r="A2" t="s">
        <v>23</v>
      </c>
      <c r="B2" t="s">
        <v>24</v>
      </c>
      <c r="C2" t="str">
        <f t="array" aca="1" ref="C2" ca="1">IF((ISNA(SUM(MATCH(MID(B2,ROW(INDIRECT("1:"&amp;LEN(B2))),1),MID(A2,ROW(INDIRECT("1:"&amp;LEN(A2))),1),0)))+ISNA(SUM(MATCH(MID(A2,ROW(INDIRECT("1:"&amp;LEN(A2))),1),MID(B2,ROW(INDIRECT("1:"&amp;LEN(B2))),1),0))))&gt;1,"No Match","Match")</f>
        <v>Match</v>
      </c>
      <c r="E2">
        <f t="array" ref="E2">MATCH(
      {"A";"C";"E";"A";"D"},
      {"E";"A";"C";"D";"B"},
      0
     )</f>
        <v>2</v>
      </c>
    </row>
    <row r="3" spans="1:5" x14ac:dyDescent="0.15">
      <c r="A3" t="s">
        <v>23</v>
      </c>
      <c r="B3" t="s">
        <v>11</v>
      </c>
      <c r="C3" t="str">
        <f t="array" aca="1" ref="C3" ca="1">IF((ISNA(SUM(MATCH(MID(B3,ROW(INDIRECT("1:"&amp;LEN(B3))),1),MID(A3,ROW(INDIRECT("1:"&amp;LEN(A3))),1),0)))+ISNA(SUM(MATCH(MID(A3,ROW(INDIRECT("1:"&amp;LEN(A3))),1),MID(B3,ROW(INDIRECT("1:"&amp;LEN(B3))),1),0))))&gt;1,"No Match","Match")</f>
        <v>Match</v>
      </c>
      <c r="E3">
        <f>MATCH(
 {"A";"C";"D ";"AB";"AAA";"A";"DDD"},
 {"A";"B";"C";"D";"AA";"A";"AB";"AC";"AD";"ABC";"ABD";"ABCD";"BBB";"CC";"D";"DD";"AABCCDD";"AAAA"},
 0
 )</f>
        <v>1</v>
      </c>
    </row>
    <row r="4" spans="1:5" x14ac:dyDescent="0.15">
      <c r="A4" t="s">
        <v>7</v>
      </c>
      <c r="B4" t="s">
        <v>25</v>
      </c>
      <c r="C4" t="str">
        <f t="array" aca="1" ref="C4" ca="1">IF((ISNA(SUM(MATCH(MID(B4,ROW(INDIRECT("1:"&amp;LEN(B4))),1),MID(A4,ROW(INDIRECT("1:"&amp;LEN(A4))),1),0)))+ISNA(SUM(MATCH(MID(A4,ROW(INDIRECT("1:"&amp;LEN(A4))),1),MID(B4,ROW(INDIRECT("1:"&amp;LEN(B4))),1),0))))&gt;1,"No Match","Match")</f>
        <v>Match</v>
      </c>
      <c r="E4" t="e">
        <f>SUM(MATCH(
 {"A";"C";"D ";"AB";"AAA";"A";"DDD"},
 {"A";"B";"C";"D";"AA";"A";"AB";"AC";"AD";"ABC";"ABD";"ABCD";"BBB";"CC";"D";"DD";"AABCCDD";"AAAA"},
 0
 ))</f>
        <v>#N/A</v>
      </c>
    </row>
    <row r="5" spans="1:5" x14ac:dyDescent="0.15">
      <c r="A5" t="s">
        <v>26</v>
      </c>
      <c r="B5" t="s">
        <v>11</v>
      </c>
      <c r="C5" t="str">
        <f t="array" aca="1" ref="C5" ca="1">IF((ISNA(SUM(MATCH(MID(B5,ROW(INDIRECT("1:"&amp;LEN(B5))),1),MID(A5,ROW(INDIRECT("1:"&amp;LEN(A5))),1),0)))+ISNA(SUM(MATCH(MID(A5,ROW(INDIRECT("1:"&amp;LEN(A5))),1),MID(B5,ROW(INDIRECT("1:"&amp;LEN(B5))),1),0))))&gt;1,"No Match","Match")</f>
        <v>No Match</v>
      </c>
      <c r="E5">
        <f t="array" aca="1" ref="E5" ca="1">ROW(
        INDIRECT(
         "1:" &amp; LEN(B8)
        )
       )</f>
        <v>1</v>
      </c>
    </row>
    <row r="6" spans="1:5" x14ac:dyDescent="0.15">
      <c r="A6" t="s">
        <v>0</v>
      </c>
      <c r="B6" t="s">
        <v>27</v>
      </c>
      <c r="C6" t="str">
        <f t="array" aca="1" ref="C6" ca="1">IF((ISNA(SUM(MATCH(MID(B6,ROW(INDIRECT("1:"&amp;LEN(B6))),1),MID(A6,ROW(INDIRECT("1:"&amp;LEN(A6))),1),0)))+ISNA(SUM(MATCH(MID(A6,ROW(INDIRECT("1:"&amp;LEN(A6))),1),MID(B6,ROW(INDIRECT("1:"&amp;LEN(B6))),1),0))))&gt;1,"No Match","Match")</f>
        <v>Match</v>
      </c>
      <c r="E6">
        <f t="array" aca="1" ref="E6" ca="1">ROW(INDIRECT("1:20"))</f>
        <v>1</v>
      </c>
    </row>
    <row r="7" spans="1:5" x14ac:dyDescent="0.15">
      <c r="A7" t="s">
        <v>30</v>
      </c>
      <c r="B7" t="s">
        <v>29</v>
      </c>
      <c r="C7" t="str">
        <f t="array" aca="1" ref="C7" ca="1">IF((ISNA(SUM(MATCH(MID(B7,ROW(INDIRECT("1:"&amp;LEN(B7))),1),MID(A7,ROW(INDIRECT("1:"&amp;LEN(A7))),1),0)))+ISNA(SUM(MATCH(MID(A7,ROW(INDIRECT("1:"&amp;LEN(A7))),1),MID(B7,ROW(INDIRECT("1:"&amp;LEN(B7))),1),0))))&gt;1,"No Match","Match")</f>
        <v>Match</v>
      </c>
      <c r="E7">
        <f>FIND(CHAR(1),SUBSTITUTE(A15,",",CHAR(1),(LEN(A15)-LEN(SUBSTITUTE(A15,",","")))/LEN(",")))</f>
        <v>51</v>
      </c>
    </row>
    <row r="8" spans="1:5" x14ac:dyDescent="0.15">
      <c r="A8" t="s">
        <v>31</v>
      </c>
      <c r="B8" t="s">
        <v>32</v>
      </c>
      <c r="C8" t="str">
        <f t="array" aca="1" ref="C8" ca="1">IF((ISNA(SUM(MATCH(MID(B8,ROW(INDIRECT("1:"&amp;LEN(B8))),1),MID(A8,ROW(INDIRECT("1:"&amp;LEN(A8))),1),0)))+ISNA(SUM(MATCH(MID(A8,ROW(INDIRECT("1:"&amp;LEN(A8))),1),MID(B8,ROW(INDIRECT("1:"&amp;LEN(B8))),1),0))))&gt;1,"No Match","Match")</f>
        <v>Match</v>
      </c>
      <c r="E8">
        <f>LEN(A15)</f>
        <v>55</v>
      </c>
    </row>
    <row r="9" spans="1:5" x14ac:dyDescent="0.15">
      <c r="E9">
        <f>LEN(CLEAN(A15))</f>
        <v>55</v>
      </c>
    </row>
    <row r="10" spans="1:5" x14ac:dyDescent="0.15">
      <c r="E10">
        <f>LEN(CHAR(9)&amp;A1&amp;CHAR(10))</f>
        <v>6</v>
      </c>
    </row>
    <row r="11" spans="1:5" x14ac:dyDescent="0.15">
      <c r="E11">
        <f>LEN(CLEAN(CHAR(9)&amp;A1&amp;CHAR(10)))</f>
        <v>4</v>
      </c>
    </row>
    <row r="12" spans="1:5" x14ac:dyDescent="0.15">
      <c r="E12">
        <f>FIND(CHAR(9),SUBSTITUTE(CLEAN(A15),",",CHAR(9),(LEN(A15)-LEN(SUBSTITUTE(A15,",","")))/LEN(",")))</f>
        <v>51</v>
      </c>
    </row>
    <row r="13" spans="1:5" x14ac:dyDescent="0.15">
      <c r="E13">
        <f>FIND(
  CHAR(9),
  SUBSTITUTE(
   CLEAN(A15),
   ",",
   CHAR(9),
   (LEN(CLEAN(A15))-LEN(SUBSTITUTE(CLEAN(A15),",","")))/LEN(",")
  )
 )</f>
        <v>51</v>
      </c>
    </row>
    <row r="14" spans="1:5" x14ac:dyDescent="0.15">
      <c r="E14" t="str">
        <f>SUBSTITUTE("A,B,C,", ",", "-",2)</f>
        <v>A,B-C,</v>
      </c>
    </row>
    <row r="15" spans="1:5" x14ac:dyDescent="0.15">
      <c r="A15" t="s">
        <v>44</v>
      </c>
      <c r="B15" t="s">
        <v>50</v>
      </c>
      <c r="C15" t="str">
        <f t="array" aca="1" ref="C15" ca="1">IF(SUMPRODUCT(--(MMULT(--EXACT(MID(","&amp;B15&amp;",",FIND(CHAR(9),SUBSTITUTE(","&amp;B15&amp;",",",",CHAR(9),ROW(INDIRECT("1:"&amp;LEN(B15)-LEN(SUBSTITUTE(B15,",",""))+1))))+1,FIND(CHAR(9),SUBSTITUTE(","&amp;B15&amp;",",",",CHAR(9),ROW(INDIRECT("2:"&amp;LEN(B15)-LEN(SUBSTITUTE(B15,",",""))+2))))-FIND(CHAR(9),SUBSTITUTE(","&amp;B15&amp;",",",",CHAR(9),ROW(INDIRECT("1:"&amp;LEN(B15)-LEN(SUBSTITUTE(B15,",",""))+1))))-1),MID(","&amp;A15&amp;",",FIND(CHAR(9),SUBSTITUTE(","&amp;A15&amp;",",",",CHAR(9),TRANSPOSE(ROW(INDIRECT("1:"&amp;LEN(A15)-LEN(SUBSTITUTE(A15,",",""))+1)))))+1,FIND(CHAR(9),SUBSTITUTE(","&amp;A15&amp;",",",",CHAR(9),TRANSPOSE(ROW(INDIRECT("2:"&amp;LEN(A15)-LEN(SUBSTITUTE(A15,",",""))+2)))))-FIND(CHAR(9),SUBSTITUTE(","&amp;A15&amp;",",",",CHAR(9),TRANSPOSE(ROW(INDIRECT("1:"&amp;LEN(A15)-LEN(SUBSTITUTE(A15,",",""))+1)))))-1)),ROW(INDIRECT("1:"&amp;LEN(A15)-LEN(SUBSTITUTE(A15,",",""))+1))/ROW(INDIRECT("1:"&amp;LEN(A15)-LEN(SUBSTITUTE(A15,",",""))+1)))&lt;&gt;1))+SUMPRODUCT(--(MMULT(TRANSPOSE(--EXACT(MID(","&amp;B15&amp;",",FIND(CHAR(9),SUBSTITUTE(","&amp;B15&amp;",",",",CHAR(9),ROW(INDIRECT("1:"&amp;LEN(B15)-LEN(SUBSTITUTE(B15,",",""))+1))))+1,FIND(CHAR(9),SUBSTITUTE(","&amp;B15&amp;",",",",CHAR(9),ROW(INDIRECT("2:"&amp;LEN(B15)-LEN(SUBSTITUTE(B15,",",""))+2))))-FIND(CHAR(9),SUBSTITUTE(","&amp;B15&amp;",",",",CHAR(9),ROW(INDIRECT("1:"&amp;LEN(B15)-LEN(SUBSTITUTE(B15,",",""))+1))))-1),MID(","&amp;A15&amp;",",FIND(CHAR(9),SUBSTITUTE(","&amp;A15&amp;",",",",CHAR(9),TRANSPOSE(ROW(INDIRECT("1:"&amp;LEN(A15)-LEN(SUBSTITUTE(A15,",",""))+1)))))+1,FIND(CHAR(9),SUBSTITUTE(","&amp;A15&amp;",",",",CHAR(9),TRANSPOSE(ROW(INDIRECT("2:"&amp;LEN(A15)-LEN(SUBSTITUTE(A15,",",""))+2)))))-FIND(CHAR(9),SUBSTITUTE(","&amp;A15&amp;",",",",CHAR(9),TRANSPOSE(ROW(INDIRECT("1:"&amp;LEN(A15)-LEN(SUBSTITUTE(A15,",",""))+1)))))-1))),ROW(INDIRECT("1:"&amp;LEN(B15)-LEN(SUBSTITUTE(B15,",",""))+1))/ROW(INDIRECT("1:"&amp;LEN(B15)-LEN(SUBSTITUTE(B15,",",""))+1)))&gt;1))&gt;0,"Invalid","Valid")</f>
        <v>Invalid</v>
      </c>
      <c r="E15" s="3"/>
    </row>
    <row r="16" spans="1:5" x14ac:dyDescent="0.15">
      <c r="A16" t="s">
        <v>44</v>
      </c>
      <c r="B16" t="s">
        <v>43</v>
      </c>
      <c r="C16" t="str">
        <f t="array" aca="1" ref="C16" ca="1">IF(SUMPRODUCT(--(MMULT(--EXACT(MID(","&amp;B16&amp;",",FIND(CHAR(9),SUBSTITUTE(","&amp;B16&amp;",",",",CHAR(9),ROW(INDIRECT("1:"&amp;LEN(B16)-LEN(SUBSTITUTE(B16,",",""))+1))))+1,FIND(CHAR(9),SUBSTITUTE(","&amp;B16&amp;",",",",CHAR(9),ROW(INDIRECT("2:"&amp;LEN(B16)-LEN(SUBSTITUTE(B16,",",""))+2))))-FIND(CHAR(9),SUBSTITUTE(","&amp;B16&amp;",",",",CHAR(9),ROW(INDIRECT("1:"&amp;LEN(B16)-LEN(SUBSTITUTE(B16,",",""))+1))))-1),MID(","&amp;A16&amp;",",FIND(CHAR(9),SUBSTITUTE(","&amp;A16&amp;",",",",CHAR(9),TRANSPOSE(ROW(INDIRECT("1:"&amp;LEN(A16)-LEN(SUBSTITUTE(A16,",",""))+1)))))+1,FIND(CHAR(9),SUBSTITUTE(","&amp;A16&amp;",",",",CHAR(9),TRANSPOSE(ROW(INDIRECT("2:"&amp;LEN(A16)-LEN(SUBSTITUTE(A16,",",""))+2)))))-FIND(CHAR(9),SUBSTITUTE(","&amp;A16&amp;",",",",CHAR(9),TRANSPOSE(ROW(INDIRECT("1:"&amp;LEN(A16)-LEN(SUBSTITUTE(A16,",",""))+1)))))-1)),ROW(INDIRECT("1:"&amp;LEN(A16)-LEN(SUBSTITUTE(A16,",",""))+1))/ROW(INDIRECT("1:"&amp;LEN(A16)-LEN(SUBSTITUTE(A16,",",""))+1)))&lt;&gt;1))+SUMPRODUCT(--(MMULT(TRANSPOSE(--EXACT(MID(","&amp;B16&amp;",",FIND(CHAR(9),SUBSTITUTE(","&amp;B16&amp;",",",",CHAR(9),ROW(INDIRECT("1:"&amp;LEN(B16)-LEN(SUBSTITUTE(B16,",",""))+1))))+1,FIND(CHAR(9),SUBSTITUTE(","&amp;B16&amp;",",",",CHAR(9),ROW(INDIRECT("2:"&amp;LEN(B16)-LEN(SUBSTITUTE(B16,",",""))+2))))-FIND(CHAR(9),SUBSTITUTE(","&amp;B16&amp;",",",",CHAR(9),ROW(INDIRECT("1:"&amp;LEN(B16)-LEN(SUBSTITUTE(B16,",",""))+1))))-1),MID(","&amp;A16&amp;",",FIND(CHAR(9),SUBSTITUTE(","&amp;A16&amp;",",",",CHAR(9),TRANSPOSE(ROW(INDIRECT("1:"&amp;LEN(A16)-LEN(SUBSTITUTE(A16,",",""))+1)))))+1,FIND(CHAR(9),SUBSTITUTE(","&amp;A16&amp;",",",",CHAR(9),TRANSPOSE(ROW(INDIRECT("2:"&amp;LEN(A16)-LEN(SUBSTITUTE(A16,",",""))+2)))))-FIND(CHAR(9),SUBSTITUTE(","&amp;A16&amp;",",",",CHAR(9),TRANSPOSE(ROW(INDIRECT("1:"&amp;LEN(A16)-LEN(SUBSTITUTE(A16,",",""))+1)))))-1))),ROW(INDIRECT("1:"&amp;LEN(B16)-LEN(SUBSTITUTE(B16,",",""))+1))/ROW(INDIRECT("1:"&amp;LEN(B16)-LEN(SUBSTITUTE(B16,",",""))+1)))&gt;1))&gt;0,"Invalid","Valid")</f>
        <v>Invalid</v>
      </c>
      <c r="E16">
        <f ca="1">FIND(
        CHAR(9),
        IFERROR(
         SUBSTITUTE(
          B15,
          ",",
          CHAR(9),
          ROW(
           INDIRECT(
            "0:" &amp; (LEN(B15)-1)
           )
          )
         ),
         CHAR(9)&amp;B15
        )
       )</f>
        <v>1</v>
      </c>
    </row>
    <row r="17" spans="1:5" x14ac:dyDescent="0.15">
      <c r="A17" t="s">
        <v>44</v>
      </c>
      <c r="B17" t="s">
        <v>34</v>
      </c>
      <c r="C17" t="str">
        <f t="array" aca="1" ref="C17" ca="1">IF(SUMPRODUCT(--(MMULT(--EXACT(MID(","&amp;B17&amp;",",FIND(CHAR(9),SUBSTITUTE(","&amp;B17&amp;",",",",CHAR(9),ROW(INDIRECT("1:"&amp;LEN(B17)-LEN(SUBSTITUTE(B17,",",""))+1))))+1,FIND(CHAR(9),SUBSTITUTE(","&amp;B17&amp;",",",",CHAR(9),ROW(INDIRECT("2:"&amp;LEN(B17)-LEN(SUBSTITUTE(B17,",",""))+2))))-FIND(CHAR(9),SUBSTITUTE(","&amp;B17&amp;",",",",CHAR(9),ROW(INDIRECT("1:"&amp;LEN(B17)-LEN(SUBSTITUTE(B17,",",""))+1))))-1),MID(","&amp;A17&amp;",",FIND(CHAR(9),SUBSTITUTE(","&amp;A17&amp;",",",",CHAR(9),TRANSPOSE(ROW(INDIRECT("1:"&amp;LEN(A17)-LEN(SUBSTITUTE(A17,",",""))+1)))))+1,FIND(CHAR(9),SUBSTITUTE(","&amp;A17&amp;",",",",CHAR(9),TRANSPOSE(ROW(INDIRECT("2:"&amp;LEN(A17)-LEN(SUBSTITUTE(A17,",",""))+2)))))-FIND(CHAR(9),SUBSTITUTE(","&amp;A17&amp;",",",",CHAR(9),TRANSPOSE(ROW(INDIRECT("1:"&amp;LEN(A17)-LEN(SUBSTITUTE(A17,",",""))+1)))))-1)),ROW(INDIRECT("1:"&amp;LEN(A17)-LEN(SUBSTITUTE(A17,",",""))+1))/ROW(INDIRECT("1:"&amp;LEN(A17)-LEN(SUBSTITUTE(A17,",",""))+1)))&lt;&gt;1))+SUMPRODUCT(--(MMULT(TRANSPOSE(--EXACT(MID(","&amp;B17&amp;",",FIND(CHAR(9),SUBSTITUTE(","&amp;B17&amp;",",",",CHAR(9),ROW(INDIRECT("1:"&amp;LEN(B17)-LEN(SUBSTITUTE(B17,",",""))+1))))+1,FIND(CHAR(9),SUBSTITUTE(","&amp;B17&amp;",",",",CHAR(9),ROW(INDIRECT("2:"&amp;LEN(B17)-LEN(SUBSTITUTE(B17,",",""))+2))))-FIND(CHAR(9),SUBSTITUTE(","&amp;B17&amp;",",",",CHAR(9),ROW(INDIRECT("1:"&amp;LEN(B17)-LEN(SUBSTITUTE(B17,",",""))+1))))-1),MID(","&amp;A17&amp;",",FIND(CHAR(9),SUBSTITUTE(","&amp;A17&amp;",",",",CHAR(9),TRANSPOSE(ROW(INDIRECT("1:"&amp;LEN(A17)-LEN(SUBSTITUTE(A17,",",""))+1)))))+1,FIND(CHAR(9),SUBSTITUTE(","&amp;A17&amp;",",",",CHAR(9),TRANSPOSE(ROW(INDIRECT("2:"&amp;LEN(A17)-LEN(SUBSTITUTE(A17,",",""))+2)))))-FIND(CHAR(9),SUBSTITUTE(","&amp;A17&amp;",",",",CHAR(9),TRANSPOSE(ROW(INDIRECT("1:"&amp;LEN(A17)-LEN(SUBSTITUTE(A17,",",""))+1)))))-1))),ROW(INDIRECT("1:"&amp;LEN(B17)-LEN(SUBSTITUTE(B17,",",""))+1))/ROW(INDIRECT("1:"&amp;LEN(B17)-LEN(SUBSTITUTE(B17,",",""))+1)))&gt;1))&gt;0,"Invalid","Valid")</f>
        <v>Invalid</v>
      </c>
      <c r="E17" t="str">
        <f>MID(
       B15,
       {1;3;5;8;11;15;18;21;25},
       {2;4;7;10;14;17;20;24;26;#VALUE!;#VALUE!;#VALUE!;#VALUE!;#VALUE!;#VALUE!;#VALUE!;#VALUE!;#VALUE!;#VALUE!;#VALUE!;#VALUE!;#VALUE!;#VALUE!;#VALUE!;#VALUE!;#VALUE!;#VALUE!;#VALUE!;#VALUE!}
       -
       1
      )</f>
        <v>A</v>
      </c>
    </row>
    <row r="18" spans="1:5" x14ac:dyDescent="0.15">
      <c r="A18" t="s">
        <v>44</v>
      </c>
      <c r="B18" t="s">
        <v>40</v>
      </c>
      <c r="C18" t="str">
        <f t="array" aca="1" ref="C18" ca="1">IF(SUMPRODUCT(--(MMULT(--EXACT(MID(","&amp;B18&amp;",",FIND(CHAR(9),SUBSTITUTE(","&amp;B18&amp;",",",",CHAR(9),ROW(INDIRECT("1:"&amp;LEN(B18)-LEN(SUBSTITUTE(B18,",",""))+1))))+1,FIND(CHAR(9),SUBSTITUTE(","&amp;B18&amp;",",",",CHAR(9),ROW(INDIRECT("2:"&amp;LEN(B18)-LEN(SUBSTITUTE(B18,",",""))+2))))-FIND(CHAR(9),SUBSTITUTE(","&amp;B18&amp;",",",",CHAR(9),ROW(INDIRECT("1:"&amp;LEN(B18)-LEN(SUBSTITUTE(B18,",",""))+1))))-1),MID(","&amp;A18&amp;",",FIND(CHAR(9),SUBSTITUTE(","&amp;A18&amp;",",",",CHAR(9),TRANSPOSE(ROW(INDIRECT("1:"&amp;LEN(A18)-LEN(SUBSTITUTE(A18,",",""))+1)))))+1,FIND(CHAR(9),SUBSTITUTE(","&amp;A18&amp;",",",",CHAR(9),TRANSPOSE(ROW(INDIRECT("2:"&amp;LEN(A18)-LEN(SUBSTITUTE(A18,",",""))+2)))))-FIND(CHAR(9),SUBSTITUTE(","&amp;A18&amp;",",",",CHAR(9),TRANSPOSE(ROW(INDIRECT("1:"&amp;LEN(A18)-LEN(SUBSTITUTE(A18,",",""))+1)))))-1)),ROW(INDIRECT("1:"&amp;LEN(A18)-LEN(SUBSTITUTE(A18,",",""))+1))/ROW(INDIRECT("1:"&amp;LEN(A18)-LEN(SUBSTITUTE(A18,",",""))+1)))&lt;&gt;1))+SUMPRODUCT(--(MMULT(TRANSPOSE(--EXACT(MID(","&amp;B18&amp;",",FIND(CHAR(9),SUBSTITUTE(","&amp;B18&amp;",",",",CHAR(9),ROW(INDIRECT("1:"&amp;LEN(B18)-LEN(SUBSTITUTE(B18,",",""))+1))))+1,FIND(CHAR(9),SUBSTITUTE(","&amp;B18&amp;",",",",CHAR(9),ROW(INDIRECT("2:"&amp;LEN(B18)-LEN(SUBSTITUTE(B18,",",""))+2))))-FIND(CHAR(9),SUBSTITUTE(","&amp;B18&amp;",",",",CHAR(9),ROW(INDIRECT("1:"&amp;LEN(B18)-LEN(SUBSTITUTE(B18,",",""))+1))))-1),MID(","&amp;A18&amp;",",FIND(CHAR(9),SUBSTITUTE(","&amp;A18&amp;",",",",CHAR(9),TRANSPOSE(ROW(INDIRECT("1:"&amp;LEN(A18)-LEN(SUBSTITUTE(A18,",",""))+1)))))+1,FIND(CHAR(9),SUBSTITUTE(","&amp;A18&amp;",",",",CHAR(9),TRANSPOSE(ROW(INDIRECT("2:"&amp;LEN(A18)-LEN(SUBSTITUTE(A18,",",""))+2)))))-FIND(CHAR(9),SUBSTITUTE(","&amp;A18&amp;",",",",CHAR(9),TRANSPOSE(ROW(INDIRECT("1:"&amp;LEN(A18)-LEN(SUBSTITUTE(A18,",",""))+1)))))-1))),ROW(INDIRECT("1:"&amp;LEN(B18)-LEN(SUBSTITUTE(B18,",",""))+1))/ROW(INDIRECT("1:"&amp;LEN(B18)-LEN(SUBSTITUTE(B18,",",""))+1)))&gt;1))&gt;0,"Invalid","Valid")</f>
        <v>Invalid</v>
      </c>
      <c r="E18" t="str">
        <f ca="1">MID(
       B15,
       {1;3;5;8;11;15;18;21;25},
       {2;4;7;10;14;17;20;24;26}
       -
       FIND(
        CHAR(9),
        SUBSTITUTE(
         ","&amp;B15,
         ",",
         CHAR(9),
         ROW(
          INDIRECT(
           "1:" &amp; LEN(B15)-LEN(SUBSTITUTE(B15,",",""))
          )
         )
        )
       )
      )</f>
        <v>A</v>
      </c>
    </row>
    <row r="19" spans="1:5" x14ac:dyDescent="0.15">
      <c r="A19" t="s">
        <v>45</v>
      </c>
      <c r="B19" t="s">
        <v>46</v>
      </c>
      <c r="C19" t="str">
        <f t="array" aca="1" ref="C19" ca="1">IF(SUMPRODUCT(--(MMULT(--EXACT(MID(","&amp;B19&amp;",",FIND(CHAR(9),SUBSTITUTE(","&amp;B19&amp;",",",",CHAR(9),ROW(INDIRECT("1:"&amp;LEN(B19)-LEN(SUBSTITUTE(B19,",",""))+1))))+1,FIND(CHAR(9),SUBSTITUTE(","&amp;B19&amp;",",",",CHAR(9),ROW(INDIRECT("2:"&amp;LEN(B19)-LEN(SUBSTITUTE(B19,",",""))+2))))-FIND(CHAR(9),SUBSTITUTE(","&amp;B19&amp;",",",",CHAR(9),ROW(INDIRECT("1:"&amp;LEN(B19)-LEN(SUBSTITUTE(B19,",",""))+1))))-1),MID(","&amp;A19&amp;",",FIND(CHAR(9),SUBSTITUTE(","&amp;A19&amp;",",",",CHAR(9),TRANSPOSE(ROW(INDIRECT("1:"&amp;LEN(A19)-LEN(SUBSTITUTE(A19,",",""))+1)))))+1,FIND(CHAR(9),SUBSTITUTE(","&amp;A19&amp;",",",",CHAR(9),TRANSPOSE(ROW(INDIRECT("2:"&amp;LEN(A19)-LEN(SUBSTITUTE(A19,",",""))+2)))))-FIND(CHAR(9),SUBSTITUTE(","&amp;A19&amp;",",",",CHAR(9),TRANSPOSE(ROW(INDIRECT("1:"&amp;LEN(A19)-LEN(SUBSTITUTE(A19,",",""))+1)))))-1)),ROW(INDIRECT("1:"&amp;LEN(A19)-LEN(SUBSTITUTE(A19,",",""))+1))/ROW(INDIRECT("1:"&amp;LEN(A19)-LEN(SUBSTITUTE(A19,",",""))+1)))&lt;&gt;1))+SUMPRODUCT(--(MMULT(TRANSPOSE(--EXACT(MID(","&amp;B19&amp;",",FIND(CHAR(9),SUBSTITUTE(","&amp;B19&amp;",",",",CHAR(9),ROW(INDIRECT("1:"&amp;LEN(B19)-LEN(SUBSTITUTE(B19,",",""))+1))))+1,FIND(CHAR(9),SUBSTITUTE(","&amp;B19&amp;",",",",CHAR(9),ROW(INDIRECT("2:"&amp;LEN(B19)-LEN(SUBSTITUTE(B19,",",""))+2))))-FIND(CHAR(9),SUBSTITUTE(","&amp;B19&amp;",",",",CHAR(9),ROW(INDIRECT("1:"&amp;LEN(B19)-LEN(SUBSTITUTE(B19,",",""))+1))))-1),MID(","&amp;A19&amp;",",FIND(CHAR(9),SUBSTITUTE(","&amp;A19&amp;",",",",CHAR(9),TRANSPOSE(ROW(INDIRECT("1:"&amp;LEN(A19)-LEN(SUBSTITUTE(A19,",",""))+1)))))+1,FIND(CHAR(9),SUBSTITUTE(","&amp;A19&amp;",",",",CHAR(9),TRANSPOSE(ROW(INDIRECT("2:"&amp;LEN(A19)-LEN(SUBSTITUTE(A19,",",""))+2)))))-FIND(CHAR(9),SUBSTITUTE(","&amp;A19&amp;",",",",CHAR(9),TRANSPOSE(ROW(INDIRECT("1:"&amp;LEN(A19)-LEN(SUBSTITUTE(A19,",",""))+1)))))-1))),ROW(INDIRECT("1:"&amp;LEN(B19)-LEN(SUBSTITUTE(B19,",",""))+1))/ROW(INDIRECT("1:"&amp;LEN(B19)-LEN(SUBSTITUTE(B19,",",""))+1)))&gt;1))&gt;0,"Invalid","Valid")</f>
        <v>Invalid</v>
      </c>
      <c r="E19" t="str">
        <f t="array" aca="1" ref="E19" ca="1">MID(
                         ","&amp;B15&amp;",",
                         FIND(
                             CHAR(9),
                             SUBSTITUTE(
                                 ","&amp;B15&amp;",",
                                 ",",
                                 CHAR(9),
                                 ROW(
                                     INDIRECT(
                                         "1:"&amp;LEN(B15)-LEN(SUBSTITUTE(B15,",",""))+1
                                     )
                                 )
                             )
                         )
                         +
                         1,
                         FIND(
                             CHAR(9),
                             SUBSTITUTE(
                                 ","&amp;B15&amp;",",
                                 ",",
                                 CHAR(9),
                                 ROW(
                                     INDIRECT(
                                         "2:"&amp;LEN(B15)-LEN(SUBSTITUTE(B15,",",""))+2
                                     )
                                 )
                             )
                         )
                         -
                         FIND(
                             CHAR(9),
                             SUBSTITUTE(
                                 ","&amp;B15&amp;",",
                                 ",",
                                 CHAR(9),
                                 ROW(
                                     INDIRECT(
                                         "1:"&amp;LEN(B15)-LEN(SUBSTITUTE(B15,",",""))+1
                                     )
                                 )
                             )
                         )
                         -
                         1
                     )</f>
        <v>A</v>
      </c>
    </row>
    <row r="20" spans="1:5" x14ac:dyDescent="0.15">
      <c r="A20" t="s">
        <v>45</v>
      </c>
      <c r="B20" t="s">
        <v>47</v>
      </c>
      <c r="C20" t="str">
        <f t="array" aca="1" ref="C20" ca="1">IF(SUMPRODUCT(--(MMULT(--EXACT(MID(","&amp;B20&amp;",",FIND(CHAR(9),SUBSTITUTE(","&amp;B20&amp;",",",",CHAR(9),ROW(INDIRECT("1:"&amp;LEN(B20)-LEN(SUBSTITUTE(B20,",",""))+1))))+1,FIND(CHAR(9),SUBSTITUTE(","&amp;B20&amp;",",",",CHAR(9),ROW(INDIRECT("2:"&amp;LEN(B20)-LEN(SUBSTITUTE(B20,",",""))+2))))-FIND(CHAR(9),SUBSTITUTE(","&amp;B20&amp;",",",",CHAR(9),ROW(INDIRECT("1:"&amp;LEN(B20)-LEN(SUBSTITUTE(B20,",",""))+1))))-1),MID(","&amp;A20&amp;",",FIND(CHAR(9),SUBSTITUTE(","&amp;A20&amp;",",",",CHAR(9),TRANSPOSE(ROW(INDIRECT("1:"&amp;LEN(A20)-LEN(SUBSTITUTE(A20,",",""))+1)))))+1,FIND(CHAR(9),SUBSTITUTE(","&amp;A20&amp;",",",",CHAR(9),TRANSPOSE(ROW(INDIRECT("2:"&amp;LEN(A20)-LEN(SUBSTITUTE(A20,",",""))+2)))))-FIND(CHAR(9),SUBSTITUTE(","&amp;A20&amp;",",",",CHAR(9),TRANSPOSE(ROW(INDIRECT("1:"&amp;LEN(A20)-LEN(SUBSTITUTE(A20,",",""))+1)))))-1)),ROW(INDIRECT("1:"&amp;LEN(A20)-LEN(SUBSTITUTE(A20,",",""))+1))/ROW(INDIRECT("1:"&amp;LEN(A20)-LEN(SUBSTITUTE(A20,",",""))+1)))&lt;&gt;1))+SUMPRODUCT(--(MMULT(TRANSPOSE(--EXACT(MID(","&amp;B20&amp;",",FIND(CHAR(9),SUBSTITUTE(","&amp;B20&amp;",",",",CHAR(9),ROW(INDIRECT("1:"&amp;LEN(B20)-LEN(SUBSTITUTE(B20,",",""))+1))))+1,FIND(CHAR(9),SUBSTITUTE(","&amp;B20&amp;",",",",CHAR(9),ROW(INDIRECT("2:"&amp;LEN(B20)-LEN(SUBSTITUTE(B20,",",""))+2))))-FIND(CHAR(9),SUBSTITUTE(","&amp;B20&amp;",",",",CHAR(9),ROW(INDIRECT("1:"&amp;LEN(B20)-LEN(SUBSTITUTE(B20,",",""))+1))))-1),MID(","&amp;A20&amp;",",FIND(CHAR(9),SUBSTITUTE(","&amp;A20&amp;",",",",CHAR(9),TRANSPOSE(ROW(INDIRECT("1:"&amp;LEN(A20)-LEN(SUBSTITUTE(A20,",",""))+1)))))+1,FIND(CHAR(9),SUBSTITUTE(","&amp;A20&amp;",",",",CHAR(9),TRANSPOSE(ROW(INDIRECT("2:"&amp;LEN(A20)-LEN(SUBSTITUTE(A20,",",""))+2)))))-FIND(CHAR(9),SUBSTITUTE(","&amp;A20&amp;",",",",CHAR(9),TRANSPOSE(ROW(INDIRECT("1:"&amp;LEN(A20)-LEN(SUBSTITUTE(A20,",",""))+1)))))-1))),ROW(INDIRECT("1:"&amp;LEN(B20)-LEN(SUBSTITUTE(B20,",",""))+1))/ROW(INDIRECT("1:"&amp;LEN(B20)-LEN(SUBSTITUTE(B20,",",""))+1)))&gt;1))&gt;0,"Invalid","Valid")</f>
        <v>Invalid</v>
      </c>
      <c r="E20" t="str">
        <f t="array" aca="1" ref="E20" ca="1" xml:space="preserve"> IF(
     (
         ISNA(
             SUM(
                 MATCH(
                     MID(
                         ","&amp;B15&amp;",",
                         FIND(
                             CHAR(9),
                             SUBSTITUTE(
                                 ","&amp;B15&amp;",",
                                 ",",
                                 CHAR(9),
                                 ROW(
                                     INDIRECT(
                                         "1:"&amp;LEN(B15)-LEN(SUBSTITUTE(B15,",",""))+1
                                     )
                                 )
                             )
                         )
                         +
                         1,
                         FIND(
                             CHAR(9),
                             SUBSTITUTE(
                                 ","&amp;B15&amp;",",
                                 ",",
                                 CHAR(9),
                                 ROW(
                                     INDIRECT(
                                         "2:"&amp;LEN(B15)-LEN(SUBSTITUTE(B15,",",""))+2
                                     )
                                 )
                             )
                         )
                         -
                         FIND(
                             CHAR(9),
                             SUBSTITUTE(
                                 ","&amp;B15&amp;",",
                                 ",",
                                 CHAR(9),
                                 ROW(
                                     INDIRECT(
                                         "1:"&amp;LEN(B15)-LEN(SUBSTITUTE(B15,",",""))+1
                                     )
                                 )
                             )
                         )
                         -
                         1
                     ),
                     MID(
                         ","&amp;A15&amp;",",
                         FIND(
                             CHAR(9),
                             SUBSTITUTE(
                                 ","&amp;A15&amp;",",
                                 ",",
                                 CHAR(9),
                                 ROW(
                                     INDIRECT(
                                         "1:"&amp;LEN(A15)-LEN(SUBSTITUTE(A15,",",""))+1
                                     )
                                 )
                             )
                         )
                         +
                         1,
                         FIND(
                             CHAR(9),
                             SUBSTITUTE(
                                 ","&amp;A15&amp;",",
                                 ",",
                                 CHAR(9),
                                 ROW(
                                     INDIRECT(
                                         "2:"&amp;LEN(A15)-LEN(SUBSTITUTE(A15,",",""))+2
                                     )
                                 )
                             )
                         )
                         -
                         FIND(
                             CHAR(9),
                             SUBSTITUTE(
                                 ","&amp;A15&amp;",",
                                 ",",
                                 CHAR(9),
                                 ROW(
                                     INDIRECT(
                                         "1:"&amp;LEN(A15)-LEN(SUBSTITUTE(A15,",",""))+1
                                     )
                                 )
                             )
                         )
                         -
                         1
                     ),
                     0
                 )
             )
         ) +
         ISNA(
             SUM(
                 MATCH(
                     MID(
                         ","&amp;A15&amp;",",
                         FIND(
                             CHAR(9),
                             SUBSTITUTE(
                                 ","&amp;A15&amp;",",
                                 ",",
                                 CHAR(9),
                                 ROW(
                                     INDIRECT(
                                         "1:"&amp;LEN(A15)-LEN(SUBSTITUTE(A15,",",""))+1
                                     )
                                 )
                             )
                         )
                         +
                         1,
                         FIND(
                             CHAR(9),
                             SUBSTITUTE(
                                 ","&amp;A15&amp;",",
                                 ",",
                                 CHAR(9),
                                 ROW(
                                     INDIRECT(
                                         "2:"&amp;LEN(A15)-LEN(SUBSTITUTE(A15,",",""))+2
                                     )
                                 )
                             )
                         )
                         -
                         FIND(
                             CHAR(9),
                             SUBSTITUTE(
                                 ","&amp;A15&amp;",",
                                 ",",
                                 CHAR(9),
                                 ROW(
                                     INDIRECT(
                                         "1:"&amp;LEN(A15)-LEN(SUBSTITUTE(A15,",",""))+1
                                     )
                                 )
                             )
                         )
                         -
                         1
                     ),
                     MID(
                         ","&amp;B15&amp;",",
                         FIND(
                             CHAR(9),
                             SUBSTITUTE(
                                 ","&amp;B15&amp;",",
                                 ",",
                                 CHAR(9),
                                 ROW(
                                     INDIRECT(
                                         "1:"&amp;LEN(B15)-LEN(SUBSTITUTE(B15,",",""))+1
                                     )
                                 )
                             )
                         )
                         +
                         1,
                         FIND(
                             CHAR(9),
                             SUBSTITUTE(
                                 ","&amp;B15&amp;",",
                                 ",",
                                 CHAR(9),
                                 ROW(
                                     INDIRECT(
                                         "2:"&amp;LEN(B15)-LEN(SUBSTITUTE(B15,",",""))+2
                                     )
                                 )
                             )
                         )
                         -
                         FIND(
                             CHAR(9),
                             SUBSTITUTE(
                                 ","&amp;B15&amp;",",
                                 ",",
                                 CHAR(9),
                                 ROW(
                                     INDIRECT(
                                         "1:"&amp;LEN(B15)-LEN(SUBSTITUTE(B15,",",""))+1
                                     )
                                 )
                             )
                         )
                         -
                         1
                     ),
                     0
                 )
             )
         )
     ) &gt; 1,
     "No Match",
     "Match"
 )</f>
        <v>Match</v>
      </c>
    </row>
    <row r="21" spans="1:5" x14ac:dyDescent="0.15">
      <c r="A21" t="s">
        <v>45</v>
      </c>
      <c r="B21" t="s">
        <v>48</v>
      </c>
      <c r="C21" t="str">
        <f t="array" aca="1" ref="C21" ca="1">IF(SUMPRODUCT(--(MMULT(--EXACT(MID(","&amp;B21&amp;",",FIND(CHAR(9),SUBSTITUTE(","&amp;B21&amp;",",",",CHAR(9),ROW(INDIRECT("1:"&amp;LEN(B21)-LEN(SUBSTITUTE(B21,",",""))+1))))+1,FIND(CHAR(9),SUBSTITUTE(","&amp;B21&amp;",",",",CHAR(9),ROW(INDIRECT("2:"&amp;LEN(B21)-LEN(SUBSTITUTE(B21,",",""))+2))))-FIND(CHAR(9),SUBSTITUTE(","&amp;B21&amp;",",",",CHAR(9),ROW(INDIRECT("1:"&amp;LEN(B21)-LEN(SUBSTITUTE(B21,",",""))+1))))-1),MID(","&amp;A21&amp;",",FIND(CHAR(9),SUBSTITUTE(","&amp;A21&amp;",",",",CHAR(9),TRANSPOSE(ROW(INDIRECT("1:"&amp;LEN(A21)-LEN(SUBSTITUTE(A21,",",""))+1)))))+1,FIND(CHAR(9),SUBSTITUTE(","&amp;A21&amp;",",",",CHAR(9),TRANSPOSE(ROW(INDIRECT("2:"&amp;LEN(A21)-LEN(SUBSTITUTE(A21,",",""))+2)))))-FIND(CHAR(9),SUBSTITUTE(","&amp;A21&amp;",",",",CHAR(9),TRANSPOSE(ROW(INDIRECT("1:"&amp;LEN(A21)-LEN(SUBSTITUTE(A21,",",""))+1)))))-1)),ROW(INDIRECT("1:"&amp;LEN(A21)-LEN(SUBSTITUTE(A21,",",""))+1))/ROW(INDIRECT("1:"&amp;LEN(A21)-LEN(SUBSTITUTE(A21,",",""))+1)))&lt;&gt;1))+SUMPRODUCT(--(MMULT(TRANSPOSE(--EXACT(MID(","&amp;B21&amp;",",FIND(CHAR(9),SUBSTITUTE(","&amp;B21&amp;",",",",CHAR(9),ROW(INDIRECT("1:"&amp;LEN(B21)-LEN(SUBSTITUTE(B21,",",""))+1))))+1,FIND(CHAR(9),SUBSTITUTE(","&amp;B21&amp;",",",",CHAR(9),ROW(INDIRECT("2:"&amp;LEN(B21)-LEN(SUBSTITUTE(B21,",",""))+2))))-FIND(CHAR(9),SUBSTITUTE(","&amp;B21&amp;",",",",CHAR(9),ROW(INDIRECT("1:"&amp;LEN(B21)-LEN(SUBSTITUTE(B21,",",""))+1))))-1),MID(","&amp;A21&amp;",",FIND(CHAR(9),SUBSTITUTE(","&amp;A21&amp;",",",",CHAR(9),TRANSPOSE(ROW(INDIRECT("1:"&amp;LEN(A21)-LEN(SUBSTITUTE(A21,",",""))+1)))))+1,FIND(CHAR(9),SUBSTITUTE(","&amp;A21&amp;",",",",CHAR(9),TRANSPOSE(ROW(INDIRECT("2:"&amp;LEN(A21)-LEN(SUBSTITUTE(A21,",",""))+2)))))-FIND(CHAR(9),SUBSTITUTE(","&amp;A21&amp;",",",",CHAR(9),TRANSPOSE(ROW(INDIRECT("1:"&amp;LEN(A21)-LEN(SUBSTITUTE(A21,",",""))+1)))))-1))),ROW(INDIRECT("1:"&amp;LEN(B21)-LEN(SUBSTITUTE(B21,",",""))+1))/ROW(INDIRECT("1:"&amp;LEN(B21)-LEN(SUBSTITUTE(B21,",",""))+1)))&gt;1))&gt;0,"Invalid","Valid")</f>
        <v>Invalid</v>
      </c>
      <c r="E21">
        <f>{1;13;15;1;1;12}</f>
        <v>1</v>
      </c>
    </row>
    <row r="22" spans="1:5" x14ac:dyDescent="0.15">
      <c r="A22" t="s">
        <v>45</v>
      </c>
      <c r="B22" t="s">
        <v>49</v>
      </c>
      <c r="C22" t="str">
        <f t="array" aca="1" ref="C22" ca="1">IF(SUMPRODUCT(--(MMULT(--EXACT(MID(","&amp;B22&amp;",",FIND(CHAR(9),SUBSTITUTE(","&amp;B22&amp;",",",",CHAR(9),ROW(INDIRECT("1:"&amp;LEN(B22)-LEN(SUBSTITUTE(B22,",",""))+1))))+1,FIND(CHAR(9),SUBSTITUTE(","&amp;B22&amp;",",",",CHAR(9),ROW(INDIRECT("2:"&amp;LEN(B22)-LEN(SUBSTITUTE(B22,",",""))+2))))-FIND(CHAR(9),SUBSTITUTE(","&amp;B22&amp;",",",",CHAR(9),ROW(INDIRECT("1:"&amp;LEN(B22)-LEN(SUBSTITUTE(B22,",",""))+1))))-1),MID(","&amp;A22&amp;",",FIND(CHAR(9),SUBSTITUTE(","&amp;A22&amp;",",",",CHAR(9),TRANSPOSE(ROW(INDIRECT("1:"&amp;LEN(A22)-LEN(SUBSTITUTE(A22,",",""))+1)))))+1,FIND(CHAR(9),SUBSTITUTE(","&amp;A22&amp;",",",",CHAR(9),TRANSPOSE(ROW(INDIRECT("2:"&amp;LEN(A22)-LEN(SUBSTITUTE(A22,",",""))+2)))))-FIND(CHAR(9),SUBSTITUTE(","&amp;A22&amp;",",",",CHAR(9),TRANSPOSE(ROW(INDIRECT("1:"&amp;LEN(A22)-LEN(SUBSTITUTE(A22,",",""))+1)))))-1)),ROW(INDIRECT("1:"&amp;LEN(A22)-LEN(SUBSTITUTE(A22,",",""))+1))/ROW(INDIRECT("1:"&amp;LEN(A22)-LEN(SUBSTITUTE(A22,",",""))+1)))&lt;&gt;1))+SUMPRODUCT(--(MMULT(TRANSPOSE(--EXACT(MID(","&amp;B22&amp;",",FIND(CHAR(9),SUBSTITUTE(","&amp;B22&amp;",",",",CHAR(9),ROW(INDIRECT("1:"&amp;LEN(B22)-LEN(SUBSTITUTE(B22,",",""))+1))))+1,FIND(CHAR(9),SUBSTITUTE(","&amp;B22&amp;",",",",CHAR(9),ROW(INDIRECT("2:"&amp;LEN(B22)-LEN(SUBSTITUTE(B22,",",""))+2))))-FIND(CHAR(9),SUBSTITUTE(","&amp;B22&amp;",",",",CHAR(9),ROW(INDIRECT("1:"&amp;LEN(B22)-LEN(SUBSTITUTE(B22,",",""))+1))))-1),MID(","&amp;A22&amp;",",FIND(CHAR(9),SUBSTITUTE(","&amp;A22&amp;",",",",CHAR(9),TRANSPOSE(ROW(INDIRECT("1:"&amp;LEN(A22)-LEN(SUBSTITUTE(A22,",",""))+1)))))+1,FIND(CHAR(9),SUBSTITUTE(","&amp;A22&amp;",",",",CHAR(9),TRANSPOSE(ROW(INDIRECT("2:"&amp;LEN(A22)-LEN(SUBSTITUTE(A22,",",""))+2)))))-FIND(CHAR(9),SUBSTITUTE(","&amp;A22&amp;",",",",CHAR(9),TRANSPOSE(ROW(INDIRECT("1:"&amp;LEN(A22)-LEN(SUBSTITUTE(A22,",",""))+1)))))-1))),ROW(INDIRECT("1:"&amp;LEN(B22)-LEN(SUBSTITUTE(B22,",",""))+1))/ROW(INDIRECT("1:"&amp;LEN(B22)-LEN(SUBSTITUTE(B22,",",""))+1)))&gt;1))&gt;0,"Invalid","Valid")</f>
        <v>Invalid</v>
      </c>
      <c r="E22" t="str">
        <f t="array" ref="E22">IF(
    ISNA(
        SUM(
            MATCH(
                1,
                --EXACT(
                 {"A";"C";"D ";"AB";"AAA"},
                 {"A";"B";"C";"D";"AA";"A";"AB";"AC";"AD";"ABC";"ABD";"ABCD";"BBB";"CC";"D";"DD";"AABCCDD";"AAAA"}
             ),
                0
            )
        )
    ),
    "Invalid",
    "Valid"
)</f>
        <v>Valid</v>
      </c>
    </row>
    <row r="23" spans="1:5" x14ac:dyDescent="0.15">
      <c r="A23" t="s">
        <v>45</v>
      </c>
      <c r="B23" t="s">
        <v>51</v>
      </c>
      <c r="C23" t="str">
        <f t="array" aca="1" ref="C23" ca="1">IF(SUMPRODUCT(--(MMULT(--EXACT(MID(","&amp;B23&amp;",",FIND(CHAR(9),SUBSTITUTE(","&amp;B23&amp;",",",",CHAR(9),ROW(INDIRECT("1:"&amp;LEN(B23)-LEN(SUBSTITUTE(B23,",",""))+1))))+1,FIND(CHAR(9),SUBSTITUTE(","&amp;B23&amp;",",",",CHAR(9),ROW(INDIRECT("2:"&amp;LEN(B23)-LEN(SUBSTITUTE(B23,",",""))+2))))-FIND(CHAR(9),SUBSTITUTE(","&amp;B23&amp;",",",",CHAR(9),ROW(INDIRECT("1:"&amp;LEN(B23)-LEN(SUBSTITUTE(B23,",",""))+1))))-1),MID(","&amp;A23&amp;",",FIND(CHAR(9),SUBSTITUTE(","&amp;A23&amp;",",",",CHAR(9),TRANSPOSE(ROW(INDIRECT("1:"&amp;LEN(A23)-LEN(SUBSTITUTE(A23,",",""))+1)))))+1,FIND(CHAR(9),SUBSTITUTE(","&amp;A23&amp;",",",",CHAR(9),TRANSPOSE(ROW(INDIRECT("2:"&amp;LEN(A23)-LEN(SUBSTITUTE(A23,",",""))+2)))))-FIND(CHAR(9),SUBSTITUTE(","&amp;A23&amp;",",",",CHAR(9),TRANSPOSE(ROW(INDIRECT("1:"&amp;LEN(A23)-LEN(SUBSTITUTE(A23,",",""))+1)))))-1)),ROW(INDIRECT("1:"&amp;LEN(A23)-LEN(SUBSTITUTE(A23,",",""))+1))/ROW(INDIRECT("1:"&amp;LEN(A23)-LEN(SUBSTITUTE(A23,",",""))+1)))&lt;&gt;1))+SUMPRODUCT(--(MMULT(TRANSPOSE(--EXACT(MID(","&amp;B23&amp;",",FIND(CHAR(9),SUBSTITUTE(","&amp;B23&amp;",",",",CHAR(9),ROW(INDIRECT("1:"&amp;LEN(B23)-LEN(SUBSTITUTE(B23,",",""))+1))))+1,FIND(CHAR(9),SUBSTITUTE(","&amp;B23&amp;",",",",CHAR(9),ROW(INDIRECT("2:"&amp;LEN(B23)-LEN(SUBSTITUTE(B23,",",""))+2))))-FIND(CHAR(9),SUBSTITUTE(","&amp;B23&amp;",",",",CHAR(9),ROW(INDIRECT("1:"&amp;LEN(B23)-LEN(SUBSTITUTE(B23,",",""))+1))))-1),MID(","&amp;A23&amp;",",FIND(CHAR(9),SUBSTITUTE(","&amp;A23&amp;",",",",CHAR(9),TRANSPOSE(ROW(INDIRECT("1:"&amp;LEN(A23)-LEN(SUBSTITUTE(A23,",",""))+1)))))+1,FIND(CHAR(9),SUBSTITUTE(","&amp;A23&amp;",",",",CHAR(9),TRANSPOSE(ROW(INDIRECT("2:"&amp;LEN(A23)-LEN(SUBSTITUTE(A23,",",""))+2)))))-FIND(CHAR(9),SUBSTITUTE(","&amp;A23&amp;",",",",CHAR(9),TRANSPOSE(ROW(INDIRECT("1:"&amp;LEN(A23)-LEN(SUBSTITUTE(A23,",",""))+1)))))-1))),ROW(INDIRECT("1:"&amp;LEN(B23)-LEN(SUBSTITUTE(B23,",",""))+1))/ROW(INDIRECT("1:"&amp;LEN(B23)-LEN(SUBSTITUTE(B23,",",""))+1)))&gt;1))&gt;0,"Invalid","Valid")</f>
        <v>Invalid</v>
      </c>
      <c r="E23" t="b">
        <f t="array" ref="E23">EXACT({"A","B","C ","d"},{"A";"B";"C";"D";"E"})</f>
        <v>1</v>
      </c>
    </row>
    <row r="24" spans="1:5" x14ac:dyDescent="0.15">
      <c r="A24" t="s">
        <v>53</v>
      </c>
      <c r="B24" t="s">
        <v>52</v>
      </c>
      <c r="C24" t="str">
        <f t="array" aca="1" ref="C24" ca="1">IF(SUMPRODUCT(--(MMULT(--EXACT(MID(","&amp;B24&amp;",",FIND(CHAR(9),SUBSTITUTE(","&amp;B24&amp;",",",",CHAR(9),ROW(INDIRECT("1:"&amp;LEN(B24)-LEN(SUBSTITUTE(B24,",",""))+1))))+1,FIND(CHAR(9),SUBSTITUTE(","&amp;B24&amp;",",",",CHAR(9),ROW(INDIRECT("2:"&amp;LEN(B24)-LEN(SUBSTITUTE(B24,",",""))+2))))-FIND(CHAR(9),SUBSTITUTE(","&amp;B24&amp;",",",",CHAR(9),ROW(INDIRECT("1:"&amp;LEN(B24)-LEN(SUBSTITUTE(B24,",",""))+1))))-1),MID(","&amp;A24&amp;",",FIND(CHAR(9),SUBSTITUTE(","&amp;A24&amp;",",",",CHAR(9),TRANSPOSE(ROW(INDIRECT("1:"&amp;LEN(A24)-LEN(SUBSTITUTE(A24,",",""))+1)))))+1,FIND(CHAR(9),SUBSTITUTE(","&amp;A24&amp;",",",",CHAR(9),TRANSPOSE(ROW(INDIRECT("2:"&amp;LEN(A24)-LEN(SUBSTITUTE(A24,",",""))+2)))))-FIND(CHAR(9),SUBSTITUTE(","&amp;A24&amp;",",",",CHAR(9),TRANSPOSE(ROW(INDIRECT("1:"&amp;LEN(A24)-LEN(SUBSTITUTE(A24,",",""))+1)))))-1)),ROW(INDIRECT("1:"&amp;LEN(A24)-LEN(SUBSTITUTE(A24,",",""))+1))/ROW(INDIRECT("1:"&amp;LEN(A24)-LEN(SUBSTITUTE(A24,",",""))+1)))&lt;&gt;1))+SUMPRODUCT(--(MMULT(TRANSPOSE(--EXACT(MID(","&amp;B24&amp;",",FIND(CHAR(9),SUBSTITUTE(","&amp;B24&amp;",",",",CHAR(9),ROW(INDIRECT("1:"&amp;LEN(B24)-LEN(SUBSTITUTE(B24,",",""))+1))))+1,FIND(CHAR(9),SUBSTITUTE(","&amp;B24&amp;",",",",CHAR(9),ROW(INDIRECT("2:"&amp;LEN(B24)-LEN(SUBSTITUTE(B24,",",""))+2))))-FIND(CHAR(9),SUBSTITUTE(","&amp;B24&amp;",",",",CHAR(9),ROW(INDIRECT("1:"&amp;LEN(B24)-LEN(SUBSTITUTE(B24,",",""))+1))))-1),MID(","&amp;A24&amp;",",FIND(CHAR(9),SUBSTITUTE(","&amp;A24&amp;",",",",CHAR(9),TRANSPOSE(ROW(INDIRECT("1:"&amp;LEN(A24)-LEN(SUBSTITUTE(A24,",",""))+1)))))+1,FIND(CHAR(9),SUBSTITUTE(","&amp;A24&amp;",",",",CHAR(9),TRANSPOSE(ROW(INDIRECT("2:"&amp;LEN(A24)-LEN(SUBSTITUTE(A24,",",""))+2)))))-FIND(CHAR(9),SUBSTITUTE(","&amp;A24&amp;",",",",CHAR(9),TRANSPOSE(ROW(INDIRECT("1:"&amp;LEN(A24)-LEN(SUBSTITUTE(A24,",",""))+1)))))-1))),ROW(INDIRECT("1:"&amp;LEN(B24)-LEN(SUBSTITUTE(B24,",",""))+1))/ROW(INDIRECT("1:"&amp;LEN(B24)-LEN(SUBSTITUTE(B24,",",""))+1)))&gt;1))&gt;0,"Invalid","Valid")</f>
        <v>Valid</v>
      </c>
      <c r="E24" t="str">
        <f t="array" aca="1" ref="E24" ca="1">MID(
    ","&amp;B15&amp;",",
    FIND(
        CHAR(9),
        SUBSTITUTE(
            ","&amp;B15&amp;",",
            ",",
            CHAR(9),
            ROW(
                INDIRECT(
                    "1:"&amp;LEN(B15)-LEN(SUBSTITUTE(B15,",",""))+1
                )
            )
        )
    )
    +
    1,
    FIND(
        CHAR(9),
        SUBSTITUTE(
            ","&amp;B15&amp;",",
            ",",
            CHAR(9),
            ROW(
                INDIRECT(
                    "2:"&amp;LEN(B15)-LEN(SUBSTITUTE(B15,",",""))+2
                )
            )
        )
    )
    -
    FIND(
        CHAR(9),
        SUBSTITUTE(
            ","&amp;B15&amp;",",
            ",",
            CHAR(9),
            ROW(
                INDIRECT(
                    "1:"&amp;LEN(B15)-LEN(SUBSTITUTE(B15,",",""))+1
                )
            )
        )
    )
    -
    1
)</f>
        <v>A</v>
      </c>
    </row>
    <row r="25" spans="1:5" x14ac:dyDescent="0.15">
      <c r="A25">
        <v>1</v>
      </c>
      <c r="B25">
        <v>2</v>
      </c>
      <c r="C25">
        <v>3</v>
      </c>
      <c r="E25">
        <f t="array" aca="1" ref="E25" ca="1">TRANSPOSE(ROW(INDIRECT("1:10")))</f>
        <v>1</v>
      </c>
    </row>
    <row r="26" spans="1:5" x14ac:dyDescent="0.15">
      <c r="A26">
        <v>4</v>
      </c>
      <c r="B26">
        <v>5</v>
      </c>
      <c r="C26">
        <v>6</v>
      </c>
      <c r="E26" t="str">
        <f>{"A","C","D ","AB","AAA"}</f>
        <v>A</v>
      </c>
    </row>
    <row r="27" spans="1:5" x14ac:dyDescent="0.15">
      <c r="A27">
        <v>7</v>
      </c>
      <c r="B27">
        <v>8</v>
      </c>
      <c r="C27">
        <v>9</v>
      </c>
      <c r="E27">
        <f t="array" ref="E27">SUM(--EXACT(
                 {"A","C","D ","AB","AAA"},
                 {"A";"B";"C";"D";"AA";"A";"AB";"AC";"AD";"ABC";"ABD";"ABCD";"BBB";"CC";"D";"DD";"AABCCDD";"AAAA"}
             ))</f>
        <v>4</v>
      </c>
    </row>
    <row r="28" spans="1:5" x14ac:dyDescent="0.15">
      <c r="E28">
        <f t="array" ref="E28">MATCH(
                 {"A","C","D ","AB","AAA"},
                 {"A";"B";"C";"D";"AA";"A";"AB";"AC";"AD";"ABC";"ABD";"ABCD";"BBB";"CC";"D";"DD";"AABCCDD";"AAAA"},0)</f>
        <v>1</v>
      </c>
    </row>
    <row r="29" spans="1:5" x14ac:dyDescent="0.15">
      <c r="E29">
        <f>SUMPRODUCT({1,2;3,4;5,6})</f>
        <v>21</v>
      </c>
    </row>
    <row r="30" spans="1:5" x14ac:dyDescent="0.15">
      <c r="E30">
        <f>VLOOKUP({0,0,1},{0,0,1;1,0,0;0,0,1;1,0,0},{1,2,3},FALSE)</f>
        <v>0</v>
      </c>
    </row>
    <row r="31" spans="1:5" x14ac:dyDescent="0.15">
      <c r="E31" t="b">
        <f t="array" ref="E31">{TRUE,FALSE,FALSE,FALSE,FALSE,TRUE,FALSE,FALSE,FALSE,FALSE,FALSE,FALSE,FALSE,FALSE,FALSE,FALSE,FALSE,FALSE;FALSE,FALSE,TRUE,FALSE,FALSE,FALSE,FALSE,FALSE,FALSE,FALSE,FALSE,FALSE,FALSE,FALSE,FALSE,FALSE,FALSE,FALSE;FALSE,FALSE,FALSE,FALSE,FALSE,FALSE,FALSE,FALSE,FALSE,FALSE,FALSE,FALSE,FALSE,FALSE,FALSE,FALSE,FALSE,FALSE;FALSE,FALSE,FALSE,FALSE,FALSE,FALSE,TRUE,FALSE,FALSE,FALSE,FALSE,FALSE,FALSE,FALSE,FALSE,FALSE,FALSE,FALSE;FALSE,FALSE,FALSE,FALSE,FALSE,FALSE,FALSE,FALSE,FALSE,FALSE,FALSE,FALSE,FALSE,FALSE,FALSE,FALSE,FALSE,FALSE}</f>
        <v>1</v>
      </c>
    </row>
    <row r="32" spans="1:5" x14ac:dyDescent="0.15">
      <c r="E32">
        <f ca="1">TRANSPOSE(
                              ROW(
                                  INDIRECT(
                                      "1:2"
                                  )
                              )
                             )</f>
        <v>1</v>
      </c>
    </row>
    <row r="33" spans="5:5" x14ac:dyDescent="0.15">
      <c r="E33">
        <f ca="1">SUM(E32)</f>
        <v>1</v>
      </c>
    </row>
    <row r="34" spans="5:5" x14ac:dyDescent="0.15">
      <c r="E34" t="s">
        <v>36</v>
      </c>
    </row>
    <row r="35" spans="5:5" x14ac:dyDescent="0.15">
      <c r="E35" t="e">
        <f ca="1">OFFSET(A25:C27,{1,2,3},,1,3)</f>
        <v>#VALUE!</v>
      </c>
    </row>
    <row r="36" spans="5:5" x14ac:dyDescent="0.15">
      <c r="E36">
        <f>SUMPRODUCT(--(MOD(A25:C27,2)=1),A25:C27)</f>
        <v>25</v>
      </c>
    </row>
    <row r="37" spans="5:5" x14ac:dyDescent="0.15">
      <c r="E37" t="e">
        <f>SUMPRODUCT(--(MOD(ROW(A25:C27),2)=1),A25:C27)</f>
        <v>#VALUE!</v>
      </c>
    </row>
    <row r="38" spans="5:5" x14ac:dyDescent="0.15">
      <c r="E38">
        <f t="array" aca="1" ref="E38" ca="1">OFFSET(A25:C27,ROW(A25:C27)-MIN(ROW(A25:C27)),0,1)</f>
        <v>1</v>
      </c>
    </row>
    <row r="39" spans="5:5" x14ac:dyDescent="0.15">
      <c r="E39">
        <f t="array" aca="1" ref="E39" ca="1">SUBTOTAL(9,OFFSET(A25:C27,ROW(A25:C27)-MIN(ROW(A25:C27)),0,1))</f>
        <v>6</v>
      </c>
    </row>
    <row r="40" spans="5:5" x14ac:dyDescent="0.15">
      <c r="E40">
        <f ca="1">SUMPRODUCT(--(SUBTOTAL(9,OFFSET(A25:C27,{0;1;2},0,1))&gt;7),SUBTOTAL(9,OFFSET(A25:C27,ROW(A25:C27)-MIN(ROW(A25:C27)),0,1)))</f>
        <v>39</v>
      </c>
    </row>
    <row r="41" spans="5:5" x14ac:dyDescent="0.15">
      <c r="E41" t="s">
        <v>37</v>
      </c>
    </row>
    <row r="42" spans="5:5" x14ac:dyDescent="0.15">
      <c r="E42" t="s">
        <v>38</v>
      </c>
    </row>
    <row r="43" spans="5:5" x14ac:dyDescent="0.15">
      <c r="E43">
        <f ca="1">ROW(
                                        INDIRECT(
                                            "1:"&amp;LEN(B15)-LEN(SUBSTITUTE(B15,",",""))+1
                                        )
                                    )</f>
        <v>1</v>
      </c>
    </row>
    <row r="44" spans="5:5" ht="189" x14ac:dyDescent="0.15">
      <c r="E44" s="3" t="s">
        <v>39</v>
      </c>
    </row>
    <row r="45" spans="5:5" x14ac:dyDescent="0.15">
      <c r="E45" t="e">
        <f t="array" ref="E45">SUBTOTAL(9,INDEX({1,0,0,0,0,1,0,0,0,0,0,0,0,0,0,0,0,0;0,0,1,0,0,0,0,0,0,0,0,0,0,0,0,0,0,0;0,0,0,1,0,0,0,0,0,0,0,0,0,0,1,0,0,0;0,0,0,0,0,0,1,0,0,0,0,0,0,0,0,0,0,0;0,0,0,0,0,0,0,0,0,0,0,0,0,0,0,0,0,1;0,0,0,0,0,0,0,0,0,0,0,0,0,0,0,0,0,0},{1;2;3;4;5;6}))</f>
        <v>#VALUE!</v>
      </c>
    </row>
    <row r="46" spans="5:5" x14ac:dyDescent="0.15">
      <c r="E46" t="e">
        <f ca="1">SUBTOTAL(9,INDEX(--EXACT(MID(","&amp;B15&amp;",",FIND(CHAR(9),SUBSTITUTE(","&amp;B15&amp;",",",",CHAR(9),ROW(INDIRECT("1:"&amp;LEN(B15)-LEN(SUBSTITUTE(B15,",",""))+1))))+1,FIND(CHAR(9),SUBSTITUTE(","&amp;B15&amp;",",",",CHAR(9),ROW(INDIRECT("2:"&amp;LEN(B15)-LEN(SUBSTITUTE(B15,",",""))+2))))-FIND(CHAR(9),SUBSTITUTE(","&amp;B15&amp;",",",",CHAR(9),ROW(INDIRECT("1:"&amp;LEN(B15)-LEN(SUBSTITUTE(B15,",",""))+1))))-1),MID(","&amp;A15&amp;",",FIND(CHAR(9),SUBSTITUTE(","&amp;A15&amp;",",",",CHAR(9),TRANSPOSE(ROW(INDIRECT("1:"&amp;LEN(A15)-LEN(SUBSTITUTE(A15,",",""))+1)))))+1,FIND(CHAR(9),SUBSTITUTE(","&amp;A15&amp;",",",",CHAR(9),TRANSPOSE(ROW(INDIRECT("2:"&amp;LEN(A15)-LEN(SUBSTITUTE(A15,",",""))+2)))))-FIND(CHAR(9),SUBSTITUTE(","&amp;A15&amp;",",",",CHAR(9),TRANSPOSE(ROW(INDIRECT("1:"&amp;LEN(A15)-LEN(SUBSTITUTE(A15,",",""))+1)))))-1)),ROW(INDIRECT("1:"&amp;LEN(B15)-LEN(SUBSTITUTE(B15,",",""))+1))-1))</f>
        <v>#VALUE!</v>
      </c>
    </row>
    <row r="47" spans="5:5" x14ac:dyDescent="0.15">
      <c r="E47">
        <f>SUM(A2:INDEX(A:A,ROW()-1))</f>
        <v>12</v>
      </c>
    </row>
    <row r="48" spans="5:5" x14ac:dyDescent="0.15">
      <c r="E48">
        <f ca="1">SUBTOTAL(9,A2:OFFSET(A300,-1,0))</f>
        <v>12</v>
      </c>
    </row>
    <row r="49" spans="5:5" x14ac:dyDescent="0.15">
      <c r="E49">
        <f>SUBTOTAL(9,A1:INDEX(A:A,ROW()-1))</f>
        <v>12</v>
      </c>
    </row>
    <row r="50" spans="5:5" x14ac:dyDescent="0.15">
      <c r="E50" t="e">
        <f>SUMPRODUCT(--(SUBTOTAL(9,INDEX({1,2,3;4,5,6;7,8,9},ROWS({1,2,3;4,5,6;7,8,9})))&gt;7),SUBTOTAL(9,INDEX({1,2,3;4,5,6;7,8,9},{1;2;3})))</f>
        <v>#VALUE!</v>
      </c>
    </row>
    <row r="51" spans="5:5" x14ac:dyDescent="0.15">
      <c r="E51" t="str">
        <f t="array" aca="1" ref="E51" ca="1">IF(ISERROR(INDEX(A1:A19,{1;2;3;4;5;6;7;8;15;16;17;#NUM!;#NUM!;#NUM!;#NUM!;#NUM!;#NUM!;#NUM!;#NUM!})),"",INDEX(A1:A19,SMALL(IF(C1:C19&gt;0,ROW(INDIRECT("1:"&amp;ROWS(C1:C19)))),ROW(INDIRECT("1:"&amp;ROWS(C1:C19))))))</f>
        <v>ACDB</v>
      </c>
    </row>
    <row r="52" spans="5:5" x14ac:dyDescent="0.15">
      <c r="E52" t="e">
        <f t="array" aca="1" ref="E52" ca="1">SUMPRODUCT(--(SUBTOTAL(9,INDEX(--EXACT(MID(","&amp;B15&amp;",",FIND(CHAR(9),SUBSTITUTE(","&amp;B15&amp;",",",",CHAR(9),ROW(INDIRECT("1:"&amp;LEN(B15)-LEN(SUBSTITUTE(B15,",",""))+1))))+1,FIND(CHAR(9),SUBSTITUTE(","&amp;B15&amp;",",",",CHAR(9),ROW(INDIRECT("2:"&amp;LEN(B15)-LEN(SUBSTITUTE(B15,",",""))+2))))-FIND(CHAR(9),SUBSTITUTE(","&amp;B15&amp;",",",",CHAR(9),ROW(INDIRECT("1:"&amp;LEN(B15)-LEN(SUBSTITUTE(B15,",",""))+1))))-1),MID(","&amp;A15&amp;",",FIND(CHAR(9),SUBSTITUTE(","&amp;A15&amp;",",",",CHAR(9),TRANSPOSE(ROW(INDIRECT("1:"&amp;LEN(A15)-LEN(SUBSTITUTE(A15,",",""))+1)))))+1,FIND(CHAR(9),SUBSTITUTE(","&amp;A15&amp;",",",",CHAR(9),TRANSPOSE(ROW(INDIRECT("2:"&amp;LEN(A15)-LEN(SUBSTITUTE(A15,",",""))+2)))))-FIND(CHAR(9),SUBSTITUTE(","&amp;A15&amp;",",",",CHAR(9),TRANSPOSE(ROW(INDIRECT("1:"&amp;LEN(A15)-LEN(SUBSTITUTE(A15,",",""))+1)))))-1)),ROW(INDIRECT("1:"&amp;LEN(B15)-LEN(SUBSTITUTE(B15,",",""))+1))-1))&lt;&gt;1),SUBTOTAL(9,INDEX(--EXACT(MID(","&amp;B15&amp;",",FIND(CHAR(9),SUBSTITUTE(","&amp;B15&amp;",",",",CHAR(9),ROW(INDIRECT("1:"&amp;LEN(B15)-LEN(SUBSTITUTE(B15,",",""))+1))))+1,FIND(CHAR(9),SUBSTITUTE(","&amp;B15&amp;",",",",CHAR(9),ROW(INDIRECT("2:"&amp;LEN(B15)-LEN(SUBSTITUTE(B15,",",""))+2))))-FIND(CHAR(9),SUBSTITUTE(","&amp;B15&amp;",",",",CHAR(9),ROW(INDIRECT("1:"&amp;LEN(B15)-LEN(SUBSTITUTE(B15,",",""))+1))))-1),MID(","&amp;A15&amp;",",FIND(CHAR(9),SUBSTITUTE(","&amp;A15&amp;",",",",CHAR(9),TRANSPOSE(ROW(INDIRECT("1:"&amp;LEN(A15)-LEN(SUBSTITUTE(A15,",",""))+1)))))+1,FIND(CHAR(9),SUBSTITUTE(","&amp;A15&amp;",",",",CHAR(9),TRANSPOSE(ROW(INDIRECT("2:"&amp;LEN(A15)-LEN(SUBSTITUTE(A15,",",""))+2)))))-FIND(CHAR(9),SUBSTITUTE(","&amp;A15&amp;",",",",CHAR(9),TRANSPOSE(ROW(INDIRECT("1:"&amp;LEN(A15)-LEN(SUBSTITUTE(A15,",",""))+1)))))-1)),ROW(INDIRECT("1:"&amp;LEN(B15)-LEN(SUBSTITUTE(B15,",",""))+1))-1)))</f>
        <v>#VALUE!</v>
      </c>
    </row>
    <row r="53" spans="5:5" x14ac:dyDescent="0.15">
      <c r="E53">
        <f>SUM(VLOOKUP({1;0},{1,0,0;0,1,1;0,0,0;0,1,0},{1,2,3},FALSE))</f>
        <v>1</v>
      </c>
    </row>
    <row r="54" spans="5:5" x14ac:dyDescent="0.15">
      <c r="E54" t="e">
        <f ca="1">SUMPRODUCT(--(MMULT(--EXACT(MID(","&amp;B15&amp;",",FIND(CHAR(9),SUBSTITUTE(","&amp;B15&amp;",",",",CHAR(9),ROW(INDIRECT("1:"&amp;LEN(B15)-LEN(SUBSTITUTE(B15,",",""))+1))))+1,FIND(CHAR(9),SUBSTITUTE(","&amp;B15&amp;",",",",CHAR(9),ROW(INDIRECT("2:"&amp;LEN(B15)-LEN(SUBSTITUTE(B15,",",""))+2))))-FIND(CHAR(9),SUBSTITUTE(","&amp;B15&amp;",",",",CHAR(9),ROW(INDIRECT("1:"&amp;LEN(B15)-LEN(SUBSTITUTE(B15,",",""))+1))))-1),MID(","&amp;A15&amp;",",FIND(CHAR(9),SUBSTITUTE(","&amp;A15&amp;",",",",CHAR(9),TRANSPOSE(ROW(INDIRECT("1:"&amp;LEN(A15)-LEN(SUBSTITUTE(A15,",",""))+1)))))+1,FIND(CHAR(9),SUBSTITUTE(","&amp;A15&amp;",",",",CHAR(9),TRANSPOSE(ROW(INDIRECT("2:"&amp;LEN(A15)-LEN(SUBSTITUTE(A15,",",""))+2)))))-FIND(CHAR(9),SUBSTITUTE(","&amp;A15&amp;",",",",CHAR(9),TRANSPOSE(ROW(INDIRECT("1:"&amp;LEN(A15)-LEN(SUBSTITUTE(A15,",",""))+1)))))-1)),ROW(INDIRECT("1:"&amp;LEN(A15)-LEN(SUBSTITUTE(A15,",",""))+1))/ROW(INDIRECT("1:"&amp;LEN(A15)-LEN(SUBSTITUTE(A15,",",""))+1)))&lt;&gt;1))+SUMPRODUCT(--(MMULT(TRANSPOSE(--EXACT(MID(","&amp;B15&amp;",",FIND(CHAR(9),SUBSTITUTE(","&amp;B15&amp;",",",",CHAR(9),ROW(INDIRECT("1:"&amp;LEN(B15)-LEN(SUBSTITUTE(B15,",",""))+1))))+1,FIND(CHAR(9),SUBSTITUTE(","&amp;B15&amp;",",",",CHAR(9),ROW(INDIRECT("2:"&amp;LEN(B15)-LEN(SUBSTITUTE(B15,",",""))+2))))-FIND(CHAR(9),SUBSTITUTE(","&amp;B15&amp;",",",",CHAR(9),ROW(INDIRECT("1:"&amp;LEN(B15)-LEN(SUBSTITUTE(B15,",",""))+1))))-1),MID(","&amp;A15&amp;",",FIND(CHAR(9),SUBSTITUTE(","&amp;A15&amp;",",",",CHAR(9),TRANSPOSE(ROW(INDIRECT("1:"&amp;LEN(A15)-LEN(SUBSTITUTE(A15,",",""))+1)))))+1,FIND(CHAR(9),SUBSTITUTE(","&amp;A15&amp;",",",",CHAR(9),TRANSPOSE(ROW(INDIRECT("2:"&amp;LEN(A15)-LEN(SUBSTITUTE(A15,",",""))+2)))))-FIND(CHAR(9),SUBSTITUTE(","&amp;A15&amp;",",",",CHAR(9),TRANSPOSE(ROW(INDIRECT("1:"&amp;LEN(A15)-LEN(SUBSTITUTE(A15,",",""))+1)))))-1))),ROW(INDIRECT("1:"&amp;LEN(B15)-LEN(SUBSTITUTE(B15,",",""))+1))/ROW(INDIRECT("1:"&amp;LEN(B15)-LEN(SUBSTITUTE(B15,",",""))+1)))&gt;1))</f>
        <v>#VALUE!</v>
      </c>
    </row>
    <row r="55" spans="5:5" x14ac:dyDescent="0.15">
      <c r="E55">
        <f>SUMPRODUCT(--(MMULT(--({1,0,0;0,1,1;0,0,0;0,1,0}),ROW($1:$3)/ROW($1:$3))&gt;1))</f>
        <v>1</v>
      </c>
    </row>
    <row r="56" spans="5:5" x14ac:dyDescent="0.15">
      <c r="E56">
        <f t="array" aca="1" ref="E56" ca="1">SUMPRODUCT(--(MMULT(--EXACT(MID(","&amp;B15&amp;",",FIND(CHAR(9),SUBSTITUTE(","&amp;B15&amp;",",",",CHAR(9),ROW(INDIRECT("1:"&amp;LEN(B15)-LEN(SUBSTITUTE(B15,",",""))+1))))+1,FIND(CHAR(9),SUBSTITUTE(","&amp;B15&amp;",",",",CHAR(9),ROW(INDIRECT("2:"&amp;LEN(B15)-LEN(SUBSTITUTE(B15,",",""))+2))))-FIND(CHAR(9),SUBSTITUTE(","&amp;B15&amp;",",",",CHAR(9),ROW(INDIRECT("1:"&amp;LEN(B15)-LEN(SUBSTITUTE(B15,",",""))+1))))-1),MID(","&amp;A15&amp;",",FIND(CHAR(9),SUBSTITUTE(","&amp;A15&amp;",",",",CHAR(9),TRANSPOSE(ROW(INDIRECT("1:"&amp;LEN(A15)-LEN(SUBSTITUTE(A15,",",""))+1)))))+1,FIND(CHAR(9),SUBSTITUTE(","&amp;A15&amp;",",",",CHAR(9),TRANSPOSE(ROW(INDIRECT("2:"&amp;LEN(A15)-LEN(SUBSTITUTE(A15,",",""))+2)))))-FIND(CHAR(9),SUBSTITUTE(","&amp;A15&amp;",",",",CHAR(9),TRANSPOSE(ROW(INDIRECT("1:"&amp;LEN(A15)-LEN(SUBSTITUTE(A15,",",""))+1)))))-1)),ROW(INDIRECT("1:"&amp;LEN(A15)-LEN(SUBSTITUTE(A15,",",""))+1))/ROW(INDIRECT("1:"&amp;LEN(A15)-LEN(SUBSTITUTE(A15,",",""))+1)))&gt;1))</f>
        <v>0</v>
      </c>
    </row>
    <row r="57" spans="5:5" x14ac:dyDescent="0.15">
      <c r="E57">
        <f t="array" ref="E57">SUMPRODUCT(
    --(
        MMULT(
            --EXACT(
                {"A";"C";"D ";"AB";"AAAA";"a";"A"},
                {"A","B","C","D","AA","AB","AC","AD","ABC","ABD","ABCD","BBB","CC","DD","AABCCDD","AAAA"}
            ),
            {1;1;1;1;1;1;1;1;1;1;1;1;1;1;1;1}
        )
        &lt;&gt;
        1
    )
)
+
SUMPRODUCT(
    --(
        MMULT(
            TRANSPOSE(
                --EXACT(
                    {"A";"C";"D ";"AB";"AAAA";"a";"A"},
                    {"A","B","C","D","AA","AB","AC","AD","ABC","ABD","ABCD","BBB","CC","DD","AABCCDD","AAAA"}
                )
            ),
            {1;1;1;1;1;1;1}
        )
        &gt;
        1
    )
)</f>
        <v>3</v>
      </c>
    </row>
    <row r="58" spans="5:5" x14ac:dyDescent="0.15">
      <c r="E58">
        <f t="array" aca="1" ref="E58" ca="1">SUMPRODUCT(--(MMULT(--EXACT(MID(","&amp;B15&amp;",",FIND(CHAR(9),SUBSTITUTE(","&amp;B15&amp;",",",",CHAR(9),ROW(INDIRECT("1:"&amp;LEN(B15)-LEN(SUBSTITUTE(B15,",",""))+1))))+1,FIND(CHAR(9),SUBSTITUTE(","&amp;B15&amp;",",",",CHAR(9),ROW(INDIRECT("2:"&amp;LEN(B15)-LEN(SUBSTITUTE(B15,",",""))+2))))-FIND(CHAR(9),SUBSTITUTE(","&amp;B15&amp;",",",",CHAR(9),ROW(INDIRECT("1:"&amp;LEN(B15)-LEN(SUBSTITUTE(B15,",",""))+1))))-1),MID(","&amp;A15&amp;",",FIND(CHAR(9),SUBSTITUTE(","&amp;A15&amp;",",",",CHAR(9),TRANSPOSE(ROW(INDIRECT("1:"&amp;LEN(A15)-LEN(SUBSTITUTE(A15,",",""))+1)))))+1,FIND(CHAR(9),SUBSTITUTE(","&amp;A15&amp;",",",",CHAR(9),TRANSPOSE(ROW(INDIRECT("2:"&amp;LEN(A15)-LEN(SUBSTITUTE(A15,",",""))+2)))))-FIND(CHAR(9),SUBSTITUTE(","&amp;A15&amp;",",",",CHAR(9),TRANSPOSE(ROW(INDIRECT("1:"&amp;LEN(A15)-LEN(SUBSTITUTE(A15,",",""))+1)))))-1)),ROW(INDIRECT("1:"&amp;LEN(A15)-LEN(SUBSTITUTE(A15,",",""))+1))/ROW(INDIRECT("1:"&amp;LEN(A15)-LEN(SUBSTITUTE(A15,",",""))+1)))&lt;&gt;1))+SUMPRODUCT(--(MMULT(TRANSPOSE(--EXACT(MID(","&amp;B15&amp;",",FIND(CHAR(9),SUBSTITUTE(","&amp;B15&amp;",",",",CHAR(9),ROW(INDIRECT("1:"&amp;LEN(B15)-LEN(SUBSTITUTE(B15,",",""))+1))))+1,FIND(CHAR(9),SUBSTITUTE(","&amp;B15&amp;",",",",CHAR(9),ROW(INDIRECT("2:"&amp;LEN(B15)-LEN(SUBSTITUTE(B15,",",""))+2))))-FIND(CHAR(9),SUBSTITUTE(","&amp;B15&amp;",",",",CHAR(9),ROW(INDIRECT("1:"&amp;LEN(B15)-LEN(SUBSTITUTE(B15,",",""))+1))))-1),MID(","&amp;A15&amp;",",FIND(CHAR(9),SUBSTITUTE(","&amp;A15&amp;",",",",CHAR(9),TRANSPOSE(ROW(INDIRECT("1:"&amp;LEN(A15)-LEN(SUBSTITUTE(A15,",",""))+1)))))+1,FIND(CHAR(9),SUBSTITUTE(","&amp;A15&amp;",",",",CHAR(9),TRANSPOSE(ROW(INDIRECT("2:"&amp;LEN(A15)-LEN(SUBSTITUTE(A15,",",""))+2)))))-FIND(CHAR(9),SUBSTITUTE(","&amp;A15&amp;",",",",CHAR(9),TRANSPOSE(ROW(INDIRECT("1:"&amp;LEN(A15)-LEN(SUBSTITUTE(A15,",",""))+1)))))-1))),ROW(INDIRECT("1:"&amp;LEN(B15)-LEN(SUBSTITUTE(B15,",",""))+1))/ROW(INDIRECT("1:"&amp;LEN(B15)-LEN(SUBSTITUTE(B15,",",""))+1)))&gt;1))</f>
        <v>2</v>
      </c>
    </row>
  </sheetData>
  <phoneticPr fontId="2" type="noConversion"/>
  <dataValidations count="1">
    <dataValidation type="custom" allowBlank="1" showErrorMessage="1" sqref="C1:C8">
      <formula1>TRIM(MID(SUBSTITUTE($B$1,",",REPT(" ",LEN($B$1))),((ROWS($B$1:$B1048576)-1)*LEN($B$1))+1,LEN($B$1)))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1</vt:i4>
      </vt:variant>
    </vt:vector>
  </HeadingPairs>
  <TitlesOfParts>
    <vt:vector size="5" baseType="lpstr">
      <vt:lpstr>Sheet1</vt:lpstr>
      <vt:lpstr>Sheet2</vt:lpstr>
      <vt:lpstr>Sheet3</vt:lpstr>
      <vt:lpstr>Sheet4</vt:lpstr>
      <vt:lpstr>CatalogSope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cipengxu</cp:lastModifiedBy>
  <dcterms:created xsi:type="dcterms:W3CDTF">2015-11-11T04:15:04Z</dcterms:created>
  <dcterms:modified xsi:type="dcterms:W3CDTF">2015-11-14T17:50:36Z</dcterms:modified>
</cp:coreProperties>
</file>